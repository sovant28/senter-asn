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 PDIK\SIMPEGNAS\DATA UNTUK INOVASI TERKAIT DISIPLIN SIMPEGNAS\LAPORAN BULAN JUNI\"/>
    </mc:Choice>
  </mc:AlternateContent>
  <xr:revisionPtr revIDLastSave="0" documentId="13_ncr:1_{DE32CD15-5A7C-48BA-8577-738C14C45106}" xr6:coauthVersionLast="47" xr6:coauthVersionMax="47" xr10:uidLastSave="{00000000-0000-0000-0000-000000000000}"/>
  <bookViews>
    <workbookView xWindow="-90" yWindow="0" windowWidth="9780" windowHeight="10170" activeTab="1" xr2:uid="{00000000-000D-0000-FFFF-FFFF00000000}"/>
  </bookViews>
  <sheets>
    <sheet name="Input Data" sheetId="1" r:id="rId1"/>
    <sheet name="Perhitungan" sheetId="2" r:id="rId2"/>
    <sheet name="Petunjuk" sheetId="3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</externalReferences>
  <calcPr calcId="191029"/>
</workbook>
</file>

<file path=xl/calcChain.xml><?xml version="1.0" encoding="utf-8"?>
<calcChain xmlns="http://schemas.openxmlformats.org/spreadsheetml/2006/main">
  <c r="B2" i="2" l="1"/>
  <c r="N4" i="2"/>
  <c r="N5" i="2"/>
  <c r="H5" i="1"/>
  <c r="C5" i="2"/>
  <c r="B5" i="2"/>
  <c r="M5" i="1"/>
  <c r="L5" i="1"/>
  <c r="K5" i="1"/>
  <c r="J5" i="1"/>
  <c r="M27" i="1" l="1"/>
  <c r="L27" i="1"/>
  <c r="K27" i="1"/>
  <c r="J27" i="1"/>
  <c r="M26" i="1" l="1"/>
  <c r="L26" i="1"/>
  <c r="K26" i="1"/>
  <c r="J26" i="1"/>
  <c r="M25" i="1"/>
  <c r="L25" i="1"/>
  <c r="K25" i="1"/>
  <c r="J25" i="1"/>
  <c r="M24" i="1"/>
  <c r="L24" i="1"/>
  <c r="K24" i="1"/>
  <c r="J24" i="1"/>
  <c r="M23" i="1"/>
  <c r="L23" i="1"/>
  <c r="K23" i="1"/>
  <c r="J23" i="1"/>
  <c r="M22" i="1"/>
  <c r="L22" i="1"/>
  <c r="K22" i="1"/>
  <c r="J22" i="1"/>
  <c r="M20" i="1"/>
  <c r="L20" i="1"/>
  <c r="K20" i="1"/>
  <c r="J20" i="1"/>
  <c r="M21" i="1"/>
  <c r="L21" i="1"/>
  <c r="K21" i="1"/>
  <c r="J21" i="1"/>
  <c r="M19" i="1" l="1"/>
  <c r="L19" i="1"/>
  <c r="K19" i="1"/>
  <c r="J19" i="1"/>
  <c r="M18" i="1"/>
  <c r="L18" i="1"/>
  <c r="K18" i="1"/>
  <c r="J18" i="1"/>
  <c r="M17" i="1"/>
  <c r="L17" i="1"/>
  <c r="K17" i="1"/>
  <c r="J17" i="1"/>
  <c r="M15" i="1"/>
  <c r="L15" i="1"/>
  <c r="K15" i="1"/>
  <c r="J15" i="1"/>
  <c r="M16" i="1"/>
  <c r="L16" i="1"/>
  <c r="K16" i="1"/>
  <c r="J16" i="1"/>
  <c r="M14" i="1" l="1"/>
  <c r="L14" i="1"/>
  <c r="K14" i="1"/>
  <c r="J14" i="1"/>
  <c r="M13" i="1"/>
  <c r="L13" i="1"/>
  <c r="K13" i="1"/>
  <c r="J13" i="1"/>
  <c r="M12" i="1" l="1"/>
  <c r="L12" i="1"/>
  <c r="K12" i="1"/>
  <c r="J12" i="1"/>
  <c r="M10" i="1" l="1"/>
  <c r="L10" i="1"/>
  <c r="K10" i="1"/>
  <c r="J10" i="1"/>
  <c r="M11" i="1"/>
  <c r="L11" i="1"/>
  <c r="K11" i="1"/>
  <c r="J11" i="1"/>
  <c r="M9" i="1" l="1"/>
  <c r="L9" i="1"/>
  <c r="K9" i="1"/>
  <c r="J9" i="1"/>
  <c r="M8" i="1"/>
  <c r="L8" i="1"/>
  <c r="K8" i="1"/>
  <c r="J8" i="1"/>
  <c r="M7" i="1"/>
  <c r="L7" i="1"/>
  <c r="K7" i="1"/>
  <c r="J7" i="1"/>
  <c r="M6" i="1"/>
  <c r="L6" i="1"/>
  <c r="K6" i="1"/>
  <c r="J6" i="1"/>
  <c r="L2" i="1" l="1"/>
  <c r="K2" i="1"/>
  <c r="J2" i="1"/>
  <c r="M4" i="2" l="1"/>
  <c r="M4" i="1"/>
  <c r="L4" i="1"/>
  <c r="K4" i="1"/>
  <c r="J4" i="1"/>
  <c r="M2" i="1"/>
  <c r="M3" i="1" l="1"/>
  <c r="L3" i="1"/>
  <c r="K3" i="1"/>
  <c r="J3" i="1"/>
  <c r="F8" i="1" l="1"/>
  <c r="I15" i="1" l="1"/>
  <c r="I12" i="1"/>
  <c r="I4" i="1"/>
  <c r="I3" i="1"/>
  <c r="E2" i="2"/>
  <c r="L2" i="2" s="1"/>
  <c r="I2" i="1"/>
  <c r="H2" i="1"/>
  <c r="C23" i="1"/>
  <c r="C22" i="1"/>
  <c r="E3" i="2"/>
  <c r="L3" i="2" s="1"/>
  <c r="E4" i="2"/>
  <c r="L4" i="2" s="1"/>
  <c r="E15" i="2"/>
  <c r="L15" i="2" s="1"/>
  <c r="E24" i="2"/>
  <c r="L24" i="2" s="1"/>
  <c r="C21" i="1"/>
  <c r="F18" i="1"/>
  <c r="H18" i="1" s="1"/>
  <c r="I18" i="1" s="1"/>
  <c r="F19" i="1"/>
  <c r="H19" i="1" s="1"/>
  <c r="I19" i="1" s="1"/>
  <c r="F16" i="1"/>
  <c r="H16" i="1" s="1"/>
  <c r="I16" i="1" s="1"/>
  <c r="H8" i="1"/>
  <c r="F7" i="1"/>
  <c r="H7" i="1" s="1"/>
  <c r="I7" i="1" s="1"/>
  <c r="C4" i="1"/>
  <c r="F27" i="1"/>
  <c r="H27" i="1" s="1"/>
  <c r="G27" i="2" s="1"/>
  <c r="H27" i="2" s="1"/>
  <c r="K27" i="2" s="1"/>
  <c r="F26" i="1"/>
  <c r="H26" i="1" s="1"/>
  <c r="I26" i="1" s="1"/>
  <c r="F25" i="1"/>
  <c r="H25" i="1" s="1"/>
  <c r="F24" i="1"/>
  <c r="H24" i="1" s="1"/>
  <c r="I24" i="1" s="1"/>
  <c r="F23" i="1"/>
  <c r="H23" i="1" s="1"/>
  <c r="G23" i="2" s="1"/>
  <c r="H23" i="2" s="1"/>
  <c r="K23" i="2" s="1"/>
  <c r="F22" i="1"/>
  <c r="H22" i="1" s="1"/>
  <c r="G22" i="2" s="1"/>
  <c r="H22" i="2" s="1"/>
  <c r="K22" i="2" s="1"/>
  <c r="F21" i="1"/>
  <c r="H21" i="1" s="1"/>
  <c r="G21" i="2" s="1"/>
  <c r="H21" i="2" s="1"/>
  <c r="K21" i="2" s="1"/>
  <c r="F20" i="1"/>
  <c r="H20" i="1" s="1"/>
  <c r="I20" i="1" s="1"/>
  <c r="F17" i="1"/>
  <c r="H17" i="1" s="1"/>
  <c r="E17" i="2" s="1"/>
  <c r="L17" i="2" s="1"/>
  <c r="F15" i="1"/>
  <c r="H15" i="1" s="1"/>
  <c r="G15" i="2" s="1"/>
  <c r="H15" i="2" s="1"/>
  <c r="K15" i="2" s="1"/>
  <c r="F14" i="1"/>
  <c r="H14" i="1" s="1"/>
  <c r="G14" i="2" s="1"/>
  <c r="H14" i="2" s="1"/>
  <c r="K14" i="2" s="1"/>
  <c r="F13" i="1"/>
  <c r="H13" i="1" s="1"/>
  <c r="G13" i="2" s="1"/>
  <c r="H13" i="2" s="1"/>
  <c r="K13" i="2" s="1"/>
  <c r="F12" i="1"/>
  <c r="H12" i="1" s="1"/>
  <c r="E12" i="2" s="1"/>
  <c r="L12" i="2" s="1"/>
  <c r="F11" i="1"/>
  <c r="H11" i="1" s="1"/>
  <c r="I11" i="1" s="1"/>
  <c r="F10" i="1"/>
  <c r="F9" i="1"/>
  <c r="H9" i="1" s="1"/>
  <c r="I9" i="1" s="1"/>
  <c r="F6" i="1"/>
  <c r="F5" i="1"/>
  <c r="G5" i="2" s="1"/>
  <c r="H5" i="2" s="1"/>
  <c r="K5" i="2" s="1"/>
  <c r="F4" i="1"/>
  <c r="H4" i="1" s="1"/>
  <c r="G4" i="2" s="1"/>
  <c r="H4" i="2" s="1"/>
  <c r="K4" i="2" s="1"/>
  <c r="F3" i="1"/>
  <c r="H3" i="1" s="1"/>
  <c r="G3" i="2" s="1"/>
  <c r="H3" i="2" s="1"/>
  <c r="K3" i="2" s="1"/>
  <c r="F2" i="1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H10" i="1"/>
  <c r="G10" i="2" s="1"/>
  <c r="H10" i="2" s="1"/>
  <c r="K10" i="2" s="1"/>
  <c r="C4" i="2"/>
  <c r="C3" i="2"/>
  <c r="I17" i="1" l="1"/>
  <c r="B17" i="2" s="1"/>
  <c r="I17" i="2" s="1"/>
  <c r="G8" i="2"/>
  <c r="H8" i="2" s="1"/>
  <c r="K8" i="2" s="1"/>
  <c r="I8" i="1"/>
  <c r="B8" i="2" s="1"/>
  <c r="I8" i="2" s="1"/>
  <c r="E9" i="2"/>
  <c r="L9" i="2" s="1"/>
  <c r="E21" i="2"/>
  <c r="L21" i="2" s="1"/>
  <c r="E7" i="2"/>
  <c r="L7" i="2" s="1"/>
  <c r="I13" i="1"/>
  <c r="B13" i="2" s="1"/>
  <c r="I13" i="2" s="1"/>
  <c r="E13" i="2"/>
  <c r="L13" i="2" s="1"/>
  <c r="I21" i="1"/>
  <c r="B21" i="2" s="1"/>
  <c r="I21" i="2" s="1"/>
  <c r="I22" i="1"/>
  <c r="B22" i="2" s="1"/>
  <c r="I22" i="2" s="1"/>
  <c r="E11" i="2"/>
  <c r="L11" i="2" s="1"/>
  <c r="I10" i="1"/>
  <c r="I23" i="1"/>
  <c r="B23" i="2" s="1"/>
  <c r="I23" i="2" s="1"/>
  <c r="E10" i="2"/>
  <c r="L10" i="2" s="1"/>
  <c r="E27" i="2"/>
  <c r="L27" i="2" s="1"/>
  <c r="I27" i="1"/>
  <c r="B27" i="2" s="1"/>
  <c r="I27" i="2" s="1"/>
  <c r="G25" i="2"/>
  <c r="H25" i="2" s="1"/>
  <c r="K25" i="2" s="1"/>
  <c r="I25" i="1"/>
  <c r="B25" i="2" s="1"/>
  <c r="I25" i="2" s="1"/>
  <c r="E25" i="2"/>
  <c r="L25" i="2" s="1"/>
  <c r="E20" i="2"/>
  <c r="L20" i="2" s="1"/>
  <c r="E19" i="2"/>
  <c r="L19" i="2" s="1"/>
  <c r="E18" i="2"/>
  <c r="L18" i="2" s="1"/>
  <c r="E16" i="2"/>
  <c r="L16" i="2" s="1"/>
  <c r="E14" i="2"/>
  <c r="L14" i="2" s="1"/>
  <c r="I14" i="1"/>
  <c r="B14" i="2" s="1"/>
  <c r="I14" i="2" s="1"/>
  <c r="E8" i="2"/>
  <c r="L8" i="2" s="1"/>
  <c r="H6" i="1"/>
  <c r="I6" i="1" s="1"/>
  <c r="B6" i="2" s="1"/>
  <c r="I6" i="2" s="1"/>
  <c r="E5" i="2"/>
  <c r="L5" i="2" s="1"/>
  <c r="I5" i="1"/>
  <c r="I5" i="2" s="1"/>
  <c r="B11" i="2"/>
  <c r="I11" i="2" s="1"/>
  <c r="G26" i="2"/>
  <c r="H26" i="2" s="1"/>
  <c r="K26" i="2" s="1"/>
  <c r="E26" i="2"/>
  <c r="L26" i="2" s="1"/>
  <c r="E23" i="2"/>
  <c r="L23" i="2" s="1"/>
  <c r="E22" i="2"/>
  <c r="L22" i="2" s="1"/>
  <c r="B9" i="2"/>
  <c r="I9" i="2" s="1"/>
  <c r="G12" i="2"/>
  <c r="H12" i="2" s="1"/>
  <c r="K12" i="2" s="1"/>
  <c r="B12" i="2"/>
  <c r="I12" i="2" s="1"/>
  <c r="G16" i="2"/>
  <c r="H16" i="2" s="1"/>
  <c r="K16" i="2" s="1"/>
  <c r="B16" i="2"/>
  <c r="I16" i="2" s="1"/>
  <c r="G17" i="2"/>
  <c r="H17" i="2" s="1"/>
  <c r="K17" i="2" s="1"/>
  <c r="G18" i="2"/>
  <c r="H18" i="2" s="1"/>
  <c r="K18" i="2" s="1"/>
  <c r="B18" i="2"/>
  <c r="I18" i="2" s="1"/>
  <c r="G19" i="2"/>
  <c r="H19" i="2" s="1"/>
  <c r="K19" i="2" s="1"/>
  <c r="B19" i="2"/>
  <c r="I19" i="2" s="1"/>
  <c r="G20" i="2"/>
  <c r="H20" i="2" s="1"/>
  <c r="K20" i="2" s="1"/>
  <c r="B20" i="2"/>
  <c r="I20" i="2" s="1"/>
  <c r="G7" i="2"/>
  <c r="H7" i="2" s="1"/>
  <c r="K7" i="2" s="1"/>
  <c r="B7" i="2"/>
  <c r="I7" i="2" s="1"/>
  <c r="G24" i="2"/>
  <c r="H24" i="2" s="1"/>
  <c r="K24" i="2" s="1"/>
  <c r="B24" i="2"/>
  <c r="D16" i="2"/>
  <c r="F16" i="2" s="1"/>
  <c r="J16" i="2" s="1"/>
  <c r="D17" i="2"/>
  <c r="F17" i="2" s="1"/>
  <c r="J17" i="2" s="1"/>
  <c r="D9" i="2"/>
  <c r="F9" i="2" s="1"/>
  <c r="J9" i="2" s="1"/>
  <c r="D26" i="2"/>
  <c r="F26" i="2" s="1"/>
  <c r="J26" i="2" s="1"/>
  <c r="D24" i="2"/>
  <c r="F24" i="2" s="1"/>
  <c r="J24" i="2" s="1"/>
  <c r="D7" i="2"/>
  <c r="F7" i="2" s="1"/>
  <c r="J7" i="2" s="1"/>
  <c r="B26" i="2"/>
  <c r="I26" i="2" s="1"/>
  <c r="G9" i="2"/>
  <c r="H9" i="2" s="1"/>
  <c r="K9" i="2" s="1"/>
  <c r="D18" i="2"/>
  <c r="F18" i="2" s="1"/>
  <c r="J18" i="2" s="1"/>
  <c r="B10" i="2"/>
  <c r="I10" i="2" s="1"/>
  <c r="D19" i="2"/>
  <c r="F19" i="2" s="1"/>
  <c r="J19" i="2" s="1"/>
  <c r="G11" i="2"/>
  <c r="H11" i="2" s="1"/>
  <c r="K11" i="2" s="1"/>
  <c r="D20" i="2"/>
  <c r="F20" i="2" s="1"/>
  <c r="J20" i="2" s="1"/>
  <c r="D12" i="2"/>
  <c r="F12" i="2" s="1"/>
  <c r="J12" i="2" s="1"/>
  <c r="D8" i="2"/>
  <c r="F8" i="2" s="1"/>
  <c r="J8" i="2" s="1"/>
  <c r="D21" i="2"/>
  <c r="F21" i="2" s="1"/>
  <c r="J21" i="2" s="1"/>
  <c r="D25" i="2"/>
  <c r="F25" i="2" s="1"/>
  <c r="J25" i="2" s="1"/>
  <c r="D13" i="2"/>
  <c r="F13" i="2" s="1"/>
  <c r="J13" i="2" s="1"/>
  <c r="D5" i="2"/>
  <c r="F5" i="2" s="1"/>
  <c r="J5" i="2" s="1"/>
  <c r="D22" i="2"/>
  <c r="F22" i="2" s="1"/>
  <c r="J22" i="2" s="1"/>
  <c r="D10" i="2"/>
  <c r="F10" i="2" s="1"/>
  <c r="J10" i="2" s="1"/>
  <c r="D14" i="2"/>
  <c r="F14" i="2" s="1"/>
  <c r="J14" i="2" s="1"/>
  <c r="D6" i="2"/>
  <c r="F6" i="2" s="1"/>
  <c r="J6" i="2" s="1"/>
  <c r="D27" i="2"/>
  <c r="F27" i="2" s="1"/>
  <c r="J27" i="2" s="1"/>
  <c r="B15" i="2"/>
  <c r="I15" i="2" s="1"/>
  <c r="D23" i="2"/>
  <c r="F23" i="2" s="1"/>
  <c r="D15" i="2"/>
  <c r="F15" i="2" s="1"/>
  <c r="J15" i="2" s="1"/>
  <c r="D11" i="2"/>
  <c r="F11" i="2" s="1"/>
  <c r="J11" i="2" s="1"/>
  <c r="I2" i="2"/>
  <c r="G2" i="2"/>
  <c r="H2" i="2" s="1"/>
  <c r="K2" i="2" s="1"/>
  <c r="B3" i="2"/>
  <c r="I3" i="2" s="1"/>
  <c r="D3" i="2"/>
  <c r="F3" i="2" s="1"/>
  <c r="J3" i="2" s="1"/>
  <c r="B4" i="2"/>
  <c r="I4" i="2" s="1"/>
  <c r="D4" i="2"/>
  <c r="F4" i="2" s="1"/>
  <c r="J4" i="2" s="1"/>
  <c r="M5" i="2" l="1"/>
  <c r="M12" i="2"/>
  <c r="N12" i="2" s="1"/>
  <c r="G6" i="2"/>
  <c r="H6" i="2" s="1"/>
  <c r="K6" i="2" s="1"/>
  <c r="M14" i="2"/>
  <c r="N14" i="2" s="1"/>
  <c r="M9" i="2"/>
  <c r="N9" i="2" s="1"/>
  <c r="E6" i="2"/>
  <c r="L6" i="2" s="1"/>
  <c r="M3" i="2"/>
  <c r="N3" i="2" s="1"/>
  <c r="M21" i="2"/>
  <c r="N21" i="2" s="1"/>
  <c r="M17" i="2"/>
  <c r="N17" i="2" s="1"/>
  <c r="M15" i="2"/>
  <c r="N15" i="2" s="1"/>
  <c r="M19" i="2"/>
  <c r="N19" i="2" s="1"/>
  <c r="M13" i="2"/>
  <c r="N13" i="2" s="1"/>
  <c r="M10" i="2"/>
  <c r="N10" i="2" s="1"/>
  <c r="M20" i="2"/>
  <c r="N20" i="2" s="1"/>
  <c r="M16" i="2"/>
  <c r="N16" i="2" s="1"/>
  <c r="M11" i="2"/>
  <c r="N11" i="2" s="1"/>
  <c r="M8" i="2"/>
  <c r="N8" i="2" s="1"/>
  <c r="M25" i="2"/>
  <c r="N25" i="2" s="1"/>
  <c r="M18" i="2"/>
  <c r="N18" i="2" s="1"/>
  <c r="M7" i="2"/>
  <c r="N7" i="2" s="1"/>
  <c r="M27" i="2"/>
  <c r="N27" i="2" s="1"/>
  <c r="J23" i="2"/>
  <c r="M23" i="2" s="1"/>
  <c r="N23" i="2" s="1"/>
  <c r="I24" i="2"/>
  <c r="M24" i="2" s="1"/>
  <c r="N24" i="2" s="1"/>
  <c r="M26" i="2"/>
  <c r="N26" i="2" s="1"/>
  <c r="M22" i="2"/>
  <c r="N22" i="2" s="1"/>
  <c r="M6" i="2" l="1"/>
  <c r="N6" i="2" s="1"/>
  <c r="C2" i="2"/>
  <c r="D2" i="2" s="1"/>
  <c r="F2" i="2" s="1"/>
  <c r="J2" i="2" s="1"/>
  <c r="M2" i="2" s="1"/>
  <c r="N2" i="2" s="1"/>
</calcChain>
</file>

<file path=xl/sharedStrings.xml><?xml version="1.0" encoding="utf-8"?>
<sst xmlns="http://schemas.openxmlformats.org/spreadsheetml/2006/main" count="90" uniqueCount="63">
  <si>
    <t>No</t>
  </si>
  <si>
    <t>Nama OPD</t>
  </si>
  <si>
    <t>Jumlah ASN</t>
  </si>
  <si>
    <t>Hari Kerja</t>
  </si>
  <si>
    <t>Total Kewajiban Hadir</t>
  </si>
  <si>
    <t>Jumlah Hadir</t>
  </si>
  <si>
    <t>Jumlah Terlambat</t>
  </si>
  <si>
    <t>Jumlah Pulang Cepat</t>
  </si>
  <si>
    <t>Jumlah Tidak Hadir</t>
  </si>
  <si>
    <t>BKPSDM</t>
  </si>
  <si>
    <t>Inspektorat</t>
  </si>
  <si>
    <t>Persentase Kehadiran</t>
  </si>
  <si>
    <t>Total Pelanggaran Jam Kerja</t>
  </si>
  <si>
    <t>Persentase Pelanggaran Jam Kerja</t>
  </si>
  <si>
    <t>Nilai Kepatuhan Jam Kerja</t>
  </si>
  <si>
    <t>Persentase Ketidakhadiran</t>
  </si>
  <si>
    <t>Nilai Ketidakhadiran</t>
  </si>
  <si>
    <t>Total Skor</t>
  </si>
  <si>
    <t>Kategori</t>
  </si>
  <si>
    <t>PETUNJUK PENGGUNAAN TEMPLATE DISIPLIN OPD</t>
  </si>
  <si>
    <t>1. Isi data pada sheet 'Input Data'.</t>
  </si>
  <si>
    <t>2. Masukkan jumlah ASN, hari kerja, jumlah hadir, keterlambatan, pulang cepat, dan tidak hadir.</t>
  </si>
  <si>
    <t>3. Sistem otomatis menghitung seluruh skor disiplin.</t>
  </si>
  <si>
    <t>BOBOT PENILAIAN:</t>
  </si>
  <si>
    <t>- Kehadiran = 60%</t>
  </si>
  <si>
    <t>Kepatuhan Jam Kerja dihitung dari:</t>
  </si>
  <si>
    <t>Jumlah Terlambat + Jumlah Pulang Cepat</t>
  </si>
  <si>
    <t>PNS</t>
  </si>
  <si>
    <t>PPPK</t>
  </si>
  <si>
    <t>PPPK PW</t>
  </si>
  <si>
    <t>Badan Kesbangpol</t>
  </si>
  <si>
    <t>BPBD</t>
  </si>
  <si>
    <t>BPKPD</t>
  </si>
  <si>
    <t>BAPPELITBANGDA</t>
  </si>
  <si>
    <t>Dinas Dukcapil</t>
  </si>
  <si>
    <t>Dinas Kesehatan</t>
  </si>
  <si>
    <t>Dinas Kominfosan</t>
  </si>
  <si>
    <t>Dinas PRKP</t>
  </si>
  <si>
    <t>Dinas Koperasi, UKM, Perindag</t>
  </si>
  <si>
    <t>Dinas PM &amp; PTSP</t>
  </si>
  <si>
    <t>Disnakertrans</t>
  </si>
  <si>
    <t>Dinas Lingkungan Hidup</t>
  </si>
  <si>
    <t>Dinas Parpora</t>
  </si>
  <si>
    <t>Dinas PUTR</t>
  </si>
  <si>
    <t>Dinas PML</t>
  </si>
  <si>
    <t>Dinas P3AP2KB</t>
  </si>
  <si>
    <t>Dinas Pendidikan &amp; Kebudayaan</t>
  </si>
  <si>
    <t>Dinas Perhubungan</t>
  </si>
  <si>
    <t>Dinas Perpustakaan dan Kearsipan</t>
  </si>
  <si>
    <t>Dinas Pertanian, Ketapang dan Perikanan</t>
  </si>
  <si>
    <t>Dinas Sosial</t>
  </si>
  <si>
    <t>Satpol PP dan Damkar</t>
  </si>
  <si>
    <t>Sekretariat DPRD</t>
  </si>
  <si>
    <t>Sekretariat Daerah</t>
  </si>
  <si>
    <t xml:space="preserve"> - Kepatuhan Jam Kerja = 20%</t>
  </si>
  <si>
    <t xml:space="preserve"> - Ketidakhadiran = 20%</t>
  </si>
  <si>
    <t>Jumlah Hadir Normal</t>
  </si>
  <si>
    <t>Persentase Kehadiran Efektif</t>
  </si>
  <si>
    <t>Skor Ketidakhadiran (15%)</t>
  </si>
  <si>
    <t>Skor Kehadiran (25%)</t>
  </si>
  <si>
    <t>Skor Kepatuhan Jam Kerja (20%)</t>
  </si>
  <si>
    <t>Skor Hadir Efektif (40%)</t>
  </si>
  <si>
    <t>skor website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</si>
</sst>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6"/>
      <color theme="1"/>
      <name val="Arial"/>
      <family val="2"/>
    </font>
    <font>
      <b/>
      <sz val="6"/>
      <color theme="1"/>
      <name val="Arial"/>
      <family val="2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3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2" fillId="0" borderId="0" xfId="0" applyFont="1"/>
    <xf numFmtId="0" fontId="4" fillId="4" borderId="2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5" fillId="5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2" fontId="0" fillId="6" borderId="1" xfId="0" applyNumberForma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6" borderId="0" xfId="0" applyFill="1"/>
    <xf numFmtId="0" fontId="5" fillId="6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26" Type="http://schemas.openxmlformats.org/officeDocument/2006/relationships/externalLink" Target="externalLinks/externalLink23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8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externalLink" Target="externalLinks/externalLink22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0" Type="http://schemas.openxmlformats.org/officeDocument/2006/relationships/externalLink" Target="externalLinks/externalLink17.xml"/><Relationship Id="rId29" Type="http://schemas.openxmlformats.org/officeDocument/2006/relationships/externalLink" Target="externalLinks/externalLink26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24" Type="http://schemas.openxmlformats.org/officeDocument/2006/relationships/externalLink" Target="externalLinks/externalLink21.xml"/><Relationship Id="rId32" Type="http://schemas.openxmlformats.org/officeDocument/2006/relationships/sharedStrings" Target="sharedStrings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20.xml"/><Relationship Id="rId28" Type="http://schemas.openxmlformats.org/officeDocument/2006/relationships/externalLink" Target="externalLinks/externalLink25.xml"/><Relationship Id="rId10" Type="http://schemas.openxmlformats.org/officeDocument/2006/relationships/externalLink" Target="externalLinks/externalLink7.xml"/><Relationship Id="rId19" Type="http://schemas.openxmlformats.org/officeDocument/2006/relationships/externalLink" Target="externalLinks/externalLink16.xml"/><Relationship Id="rId31" Type="http://schemas.openxmlformats.org/officeDocument/2006/relationships/styles" Target="styles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9.xml"/><Relationship Id="rId27" Type="http://schemas.openxmlformats.org/officeDocument/2006/relationships/externalLink" Target="externalLinks/externalLink24.xml"/><Relationship Id="rId30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A%20PDIK\SIMPEGNAS\DATA%20UNTUK%20INOVASI%20TERKAIT%20DISIPLIN%20SIMPEGNAS\LAPORAN%20BULAN%20JUNI\PERHITUNGAN%20STATISTIK%20PER%20OPD\Badan%20Kepegawaian%20dan%20Pengembangan%20Sumber%20Daya%20Manusia.xlsx" TargetMode="External"/><Relationship Id="rId1" Type="http://schemas.openxmlformats.org/officeDocument/2006/relationships/externalLinkPath" Target="PERHITUNGAN%20STATISTIK%20PER%20OPD/Badan%20Kepegawaian%20dan%20Pengembangan%20Sumber%20Daya%20Manusia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A%20PDIK\SIMPEGNAS\DATA%20UNTUK%20INOVASI%20TERKAIT%20DISIPLIN%20SIMPEGNAS\LAPORAN%20BULAN%20JUNI\PERHITUNGAN%20STATISTIK%20PER%20OPD\Badan%20Kesatuan%20Bangsa%20dan%20Politik.xlsx" TargetMode="External"/><Relationship Id="rId1" Type="http://schemas.openxmlformats.org/officeDocument/2006/relationships/externalLinkPath" Target="PERHITUNGAN%20STATISTIK%20PER%20OPD/Badan%20Kesatuan%20Bangsa%20dan%20Politik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A%20PDIK\SIMPEGNAS\DATA%20UNTUK%20INOVASI%20TERKAIT%20DISIPLIN%20SIMPEGNAS\LAPORAN%20BULAN%20JUNI\PERHITUNGAN%20STATISTIK%20PER%20OPD\Badan%20Penanggulangan%20Bencana%20Daerah.xlsx" TargetMode="External"/><Relationship Id="rId1" Type="http://schemas.openxmlformats.org/officeDocument/2006/relationships/externalLinkPath" Target="PERHITUNGAN%20STATISTIK%20PER%20OPD/Badan%20Penanggulangan%20Bencana%20Daerah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A%20PDIK\SIMPEGNAS\DATA%20UNTUK%20INOVASI%20TERKAIT%20DISIPLIN%20SIMPEGNAS\LAPORAN%20BULAN%20JUNI\PERHITUNGAN%20STATISTIK%20PER%20OPD\Badan%20Pengelolaan%20Keuangan%20dan%20Pendapatan%20Daerah.xlsx" TargetMode="External"/><Relationship Id="rId1" Type="http://schemas.openxmlformats.org/officeDocument/2006/relationships/externalLinkPath" Target="PERHITUNGAN%20STATISTIK%20PER%20OPD/Badan%20Pengelolaan%20Keuangan%20dan%20Pendapatan%20Daerah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A%20PDIK\SIMPEGNAS\DATA%20UNTUK%20INOVASI%20TERKAIT%20DISIPLIN%20SIMPEGNAS\LAPORAN%20BULAN%20JUNI\PERHITUNGAN%20STATISTIK%20PER%20OPD\Bulanan%20Badan%20Perencanaan%20Pembangunan,%20Penelitian%20dan%20Pengembangan%20Daerah.xlsx" TargetMode="External"/><Relationship Id="rId1" Type="http://schemas.openxmlformats.org/officeDocument/2006/relationships/externalLinkPath" Target="PERHITUNGAN%20STATISTIK%20PER%20OPD/Bulanan%20Badan%20Perencanaan%20Pembangunan,%20Penelitian%20dan%20Pengembangan%20Daerah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A%20PDIK\SIMPEGNAS\DATA%20UNTUK%20INOVASI%20TERKAIT%20DISIPLIN%20SIMPEGNAS\LAPORAN%20BULAN%20JUNI\PERHITUNGAN%20STATISTIK%20PER%20OPD\Dinas%20Kependudukan%20dan%20Pencatatan%20Sipil.xlsx" TargetMode="External"/><Relationship Id="rId1" Type="http://schemas.openxmlformats.org/officeDocument/2006/relationships/externalLinkPath" Target="PERHITUNGAN%20STATISTIK%20PER%20OPD/Dinas%20Kependudukan%20dan%20Pencatatan%20Sipil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A%20PDIK\SIMPEGNAS\DATA%20UNTUK%20INOVASI%20TERKAIT%20DISIPLIN%20SIMPEGNAS\LAPORAN%20BULAN%20JUNI\PERHITUNGAN%20STATISTIK%20PER%20OPD\Dinas%20Kesehatan.xlsx" TargetMode="External"/><Relationship Id="rId1" Type="http://schemas.openxmlformats.org/officeDocument/2006/relationships/externalLinkPath" Target="PERHITUNGAN%20STATISTIK%20PER%20OPD/Dinas%20Kesehatan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A%20PDIK\SIMPEGNAS\DATA%20UNTUK%20INOVASI%20TERKAIT%20DISIPLIN%20SIMPEGNAS\LAPORAN%20BULAN%20JUNI\PERHITUNGAN%20STATISTIK%20PER%20OPD\Dinas%20Komunikasi,%20Informatika%20dan%20Persandian.xlsx" TargetMode="External"/><Relationship Id="rId1" Type="http://schemas.openxmlformats.org/officeDocument/2006/relationships/externalLinkPath" Target="PERHITUNGAN%20STATISTIK%20PER%20OPD/Dinas%20Komunikasi,%20Informatika%20dan%20Persandian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A%20PDIK\SIMPEGNAS\DATA%20UNTUK%20INOVASI%20TERKAIT%20DISIPLIN%20SIMPEGNAS\LAPORAN%20BULAN%20JUNI\PERHITUNGAN%20STATISTIK%20PER%20OPD\Dinas%20Koperasi,%20Usaha%20Kecil%20dan%20Menengah,%20Perdagangan%20dan%20Perindustrian.xlsx" TargetMode="External"/><Relationship Id="rId1" Type="http://schemas.openxmlformats.org/officeDocument/2006/relationships/externalLinkPath" Target="PERHITUNGAN%20STATISTIK%20PER%20OPD/Dinas%20Koperasi,%20Usaha%20Kecil%20dan%20Menengah,%20Perdagangan%20dan%20Perindustrian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A%20PDIK\SIMPEGNAS\DATA%20UNTUK%20INOVASI%20TERKAIT%20DISIPLIN%20SIMPEGNAS\LAPORAN%20BULAN%20JUNI\PERHITUNGAN%20STATISTIK%20PER%20OPD\Dinas%20Perumahan%20Rakyat%20dan%20Kawasan%20Pemukiman.xlsx" TargetMode="External"/><Relationship Id="rId1" Type="http://schemas.openxmlformats.org/officeDocument/2006/relationships/externalLinkPath" Target="PERHITUNGAN%20STATISTIK%20PER%20OPD/Dinas%20Perumahan%20Rakyat%20dan%20Kawasan%20Pemukiman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A%20PDIK\SIMPEGNAS\DATA%20UNTUK%20INOVASI%20TERKAIT%20DISIPLIN%20SIMPEGNAS\LAPORAN%20BULAN%20JUNI\PERHITUNGAN%20STATISTIK%20PER%20OPD\Dinas%20Penanaman%20Modal%20dan%20Pelayanan%20Terpadu%20Satu%20Pintu.xlsx" TargetMode="External"/><Relationship Id="rId1" Type="http://schemas.openxmlformats.org/officeDocument/2006/relationships/externalLinkPath" Target="PERHITUNGAN%20STATISTIK%20PER%20OPD/Dinas%20Penanaman%20Modal%20dan%20Pelayanan%20Terpadu%20Satu%20Pintu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A%20PDIK\SIMPEGNAS\DATA%20UNTUK%20INOVASI%20TERKAIT%20DISIPLIN%20SIMPEGNAS\LAPORAN%20BULAN%20JUNI\PERHITUNGAN%20STATISTIK%20PER%20OPD\Dinas%20Tenaga%20Kerja%20dan%20Transmigrasi.xlsx" TargetMode="External"/><Relationship Id="rId1" Type="http://schemas.openxmlformats.org/officeDocument/2006/relationships/externalLinkPath" Target="PERHITUNGAN%20STATISTIK%20PER%20OPD/Dinas%20Tenaga%20Kerja%20dan%20Transmigrasi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A%20PDIK\SIMPEGNAS\DATA%20UNTUK%20INOVASI%20TERKAIT%20DISIPLIN%20SIMPEGNAS\LAPORAN%20BULAN%20JUNI\PERHITUNGAN%20STATISTIK%20PER%20OPD\Dinas%20Lingkungan%20Hidup.xlsx" TargetMode="External"/><Relationship Id="rId1" Type="http://schemas.openxmlformats.org/officeDocument/2006/relationships/externalLinkPath" Target="PERHITUNGAN%20STATISTIK%20PER%20OPD/Dinas%20Lingkungan%20Hidup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A%20PDIK\SIMPEGNAS\DATA%20UNTUK%20INOVASI%20TERKAIT%20DISIPLIN%20SIMPEGNAS\LAPORAN%20BULAN%20JUNI\PERHITUNGAN%20STATISTIK%20PER%20OPD\Dinas%20Pekerjaan%20Umum%20dan%20Tata%20Ruang.xlsx" TargetMode="External"/><Relationship Id="rId1" Type="http://schemas.openxmlformats.org/officeDocument/2006/relationships/externalLinkPath" Target="PERHITUNGAN%20STATISTIK%20PER%20OPD/Dinas%20Pekerjaan%20Umum%20dan%20Tata%20Ruang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A%20PDIK\SIMPEGNAS\DATA%20UNTUK%20INOVASI%20TERKAIT%20DISIPLIN%20SIMPEGNAS\LAPORAN%20BULAN%20JUNI\PERHITUNGAN%20STATISTIK%20PER%20OPD\Dinas%20Pariwisata,%20Kepemudaan%20dan%20Olah%20Raga.xlsx" TargetMode="External"/><Relationship Id="rId1" Type="http://schemas.openxmlformats.org/officeDocument/2006/relationships/externalLinkPath" Target="PERHITUNGAN%20STATISTIK%20PER%20OPD/Dinas%20Pariwisata,%20Kepemudaan%20dan%20Olah%20Raga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A%20PDIK\SIMPEGNAS\DATA%20UNTUK%20INOVASI%20TERKAIT%20DISIPLIN%20SIMPEGNAS\LAPORAN%20BULAN%20JUNI\PERHITUNGAN%20STATISTIK%20PER%20OPD\Dinas%20Pemberdayaan%20Masyarakat%20dan%20Lembang.xlsx" TargetMode="External"/><Relationship Id="rId1" Type="http://schemas.openxmlformats.org/officeDocument/2006/relationships/externalLinkPath" Target="PERHITUNGAN%20STATISTIK%20PER%20OPD/Dinas%20Pemberdayaan%20Masyarakat%20dan%20Lembang.xlsx" TargetMode="External"/></Relationships>
</file>

<file path=xl/externalLinks/_rels/externalLink17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D:\DATA%20PDIK\SIMPEGNAS\DATA%20UNTUK%20INOVASI%20TERKAIT%20DISIPLIN%20SIMPEGNAS\LAPORAN%20BULAN%20JUNI\PERHITUNGAN%20STATISTIK%20PER%20OPD\Dinas%20Pemberdayaan%20Perempuan%20dan%20Perlindungan%20Anak,%20Pengendalian%20Penduduk%20dan%20Keluarga%20Berencana.xlsx" TargetMode="External"/><Relationship Id="rId2" Type="http://schemas.microsoft.com/office/2019/04/relationships/externalLinkLongPath" Target="PERHITUNGAN%20STATISTIK%20PER%20OPD/Dinas%20Pemberdayaan%20Perempuan%20dan%20Perlindungan%20Anak,%20Pengendalian%20Penduduk%20dan%20Keluarga%20Berencana.xlsx?94894415" TargetMode="External"/><Relationship Id="rId1" Type="http://schemas.openxmlformats.org/officeDocument/2006/relationships/externalLinkPath" Target="file:///\\94894415\Dinas%20Pemberdayaan%20Perempuan%20dan%20Perlindungan%20Anak,%20Pengendalian%20Penduduk%20dan%20Keluarga%20Berencana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A%20PDIK\SIMPEGNAS\DATA%20UNTUK%20INOVASI%20TERKAIT%20DISIPLIN%20SIMPEGNAS\LAPORAN%20BULAN%20JUNI\PERHITUNGAN%20STATISTIK%20PER%20OPD\Dinas%20Pendidikan%20dan%20Kebudayaan.xlsx" TargetMode="External"/><Relationship Id="rId1" Type="http://schemas.openxmlformats.org/officeDocument/2006/relationships/externalLinkPath" Target="PERHITUNGAN%20STATISTIK%20PER%20OPD/Dinas%20Pendidikan%20dan%20Kebudayaan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A%20PDIK\SIMPEGNAS\DATA%20UNTUK%20INOVASI%20TERKAIT%20DISIPLIN%20SIMPEGNAS\LAPORAN%20BULAN%20JUNI\PERHITUNGAN%20STATISTIK%20PER%20OPD\Dinas%20Perpustakaan%20dan%20Kearsipan.xlsx" TargetMode="External"/><Relationship Id="rId1" Type="http://schemas.openxmlformats.org/officeDocument/2006/relationships/externalLinkPath" Target="PERHITUNGAN%20STATISTIK%20PER%20OPD/Dinas%20Perpustakaan%20dan%20Kearsipan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A%20PDIK\SIMPEGNAS\DATA%20UNTUK%20INOVASI%20TERKAIT%20DISIPLIN%20SIMPEGNAS\LAPORAN%20BULAN%20JUNI\PERHITUNGAN%20STATISTIK%20PER%20OPD\Dinas%20Perhubungan.xlsx" TargetMode="External"/><Relationship Id="rId1" Type="http://schemas.openxmlformats.org/officeDocument/2006/relationships/externalLinkPath" Target="PERHITUNGAN%20STATISTIK%20PER%20OPD/Dinas%20Perhubungan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A%20PDIK\SIMPEGNAS\DATA%20UNTUK%20INOVASI%20TERKAIT%20DISIPLIN%20SIMPEGNAS\LAPORAN%20BULAN%20JUNI\PERHITUNGAN%20STATISTIK%20PER%20OPD\Dinas%20Pertanian,%20Ketahanan%20Pangan%20dan%20Perikanan.xlsx" TargetMode="External"/><Relationship Id="rId1" Type="http://schemas.openxmlformats.org/officeDocument/2006/relationships/externalLinkPath" Target="PERHITUNGAN%20STATISTIK%20PER%20OPD/Dinas%20Pertanian,%20Ketahanan%20Pangan%20dan%20Perikanan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A%20PDIK\SIMPEGNAS\DATA%20UNTUK%20INOVASI%20TERKAIT%20DISIPLIN%20SIMPEGNAS\LAPORAN%20BULAN%20JUNI\PERHITUNGAN%20STATISTIK%20PER%20OPD\Dinas%20Sosial.xlsx" TargetMode="External"/><Relationship Id="rId1" Type="http://schemas.openxmlformats.org/officeDocument/2006/relationships/externalLinkPath" Target="PERHITUNGAN%20STATISTIK%20PER%20OPD/Dinas%20Sosial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A%20PDIK\SIMPEGNAS\DATA%20UNTUK%20INOVASI%20TERKAIT%20DISIPLIN%20SIMPEGNAS\LAPORAN%20BULAN%20JUNI\PERHITUNGAN%20STATISTIK%20PER%20OPD\Inspektorat%20Daerah.xlsx" TargetMode="External"/><Relationship Id="rId1" Type="http://schemas.openxmlformats.org/officeDocument/2006/relationships/externalLinkPath" Target="PERHITUNGAN%20STATISTIK%20PER%20OPD/Inspektorat%20Daerah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A%20PDIK\SIMPEGNAS\DATA%20UNTUK%20INOVASI%20TERKAIT%20DISIPLIN%20SIMPEGNAS\LAPORAN%20BULAN%20JUNI\PERHITUNGAN%20STATISTIK%20PER%20OPD\Satuan%20Polisi%20Pamong%20Praja,%20Pemadam%20Kebakaran%20dan%20Penyelamatan.xlsx" TargetMode="External"/><Relationship Id="rId1" Type="http://schemas.openxmlformats.org/officeDocument/2006/relationships/externalLinkPath" Target="PERHITUNGAN%20STATISTIK%20PER%20OPD/Satuan%20Polisi%20Pamong%20Praja,%20Pemadam%20Kebakaran%20dan%20Penyelamatan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A%20PDIK\SIMPEGNAS\DATA%20UNTUK%20INOVASI%20TERKAIT%20DISIPLIN%20SIMPEGNAS\LAPORAN%20BULAN%20JUNI\PERHITUNGAN%20STATISTIK%20PER%20OPD\Sekretariat%20Dewan%20Perwakilan%20Rakyat%20Daerah.xlsx" TargetMode="External"/><Relationship Id="rId1" Type="http://schemas.openxmlformats.org/officeDocument/2006/relationships/externalLinkPath" Target="PERHITUNGAN%20STATISTIK%20PER%20OPD/Sekretariat%20Dewan%20Perwakilan%20Rakyat%20Daerah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A%20PDIK\SIMPEGNAS\DATA%20UNTUK%20INOVASI%20TERKAIT%20DISIPLIN%20SIMPEGNAS\LAPORAN%20BULAN%20JUNI\PERHITUNGAN%20STATISTIK%20PER%20OPD\Sekretariat%20Daerah.xlsx" TargetMode="External"/><Relationship Id="rId1" Type="http://schemas.openxmlformats.org/officeDocument/2006/relationships/externalLinkPath" Target="PERHITUNGAN%20STATISTIK%20PER%20OPD/Sekretariat%20Daera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60">
          <cell r="C160">
            <v>165</v>
          </cell>
        </row>
        <row r="161">
          <cell r="C161">
            <v>47</v>
          </cell>
        </row>
        <row r="162">
          <cell r="C162">
            <v>31</v>
          </cell>
        </row>
        <row r="163">
          <cell r="C163">
            <v>486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60">
          <cell r="C160">
            <v>159</v>
          </cell>
        </row>
        <row r="161">
          <cell r="C161">
            <v>33</v>
          </cell>
        </row>
        <row r="162">
          <cell r="C162">
            <v>24</v>
          </cell>
        </row>
        <row r="163">
          <cell r="C163">
            <v>283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60">
          <cell r="C160">
            <v>200</v>
          </cell>
        </row>
        <row r="161">
          <cell r="C161">
            <v>18</v>
          </cell>
        </row>
        <row r="162">
          <cell r="C162">
            <v>17</v>
          </cell>
        </row>
        <row r="163">
          <cell r="C163">
            <v>212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60">
          <cell r="C160">
            <v>474</v>
          </cell>
        </row>
        <row r="161">
          <cell r="C161">
            <v>92</v>
          </cell>
        </row>
        <row r="162">
          <cell r="C162">
            <v>97</v>
          </cell>
        </row>
        <row r="163">
          <cell r="C163">
            <v>759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60">
          <cell r="C160">
            <v>90</v>
          </cell>
        </row>
        <row r="161">
          <cell r="C161">
            <v>9</v>
          </cell>
        </row>
        <row r="162">
          <cell r="C162">
            <v>14</v>
          </cell>
        </row>
        <row r="163">
          <cell r="C163">
            <v>313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60">
          <cell r="C160">
            <v>213</v>
          </cell>
        </row>
        <row r="161">
          <cell r="C161">
            <v>59</v>
          </cell>
        </row>
        <row r="162">
          <cell r="C162">
            <v>61</v>
          </cell>
        </row>
        <row r="163">
          <cell r="C163">
            <v>413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60">
          <cell r="C160">
            <v>493</v>
          </cell>
        </row>
        <row r="161">
          <cell r="C161">
            <v>78</v>
          </cell>
        </row>
        <row r="162">
          <cell r="C162">
            <v>54</v>
          </cell>
        </row>
        <row r="163">
          <cell r="C163">
            <v>480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60">
          <cell r="C160">
            <v>177</v>
          </cell>
        </row>
        <row r="161">
          <cell r="C161">
            <v>60</v>
          </cell>
        </row>
        <row r="162">
          <cell r="C162">
            <v>27</v>
          </cell>
        </row>
        <row r="163">
          <cell r="C163">
            <v>287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60">
          <cell r="C160">
            <v>181</v>
          </cell>
        </row>
        <row r="161">
          <cell r="C161">
            <v>39</v>
          </cell>
        </row>
        <row r="162">
          <cell r="C162">
            <v>59</v>
          </cell>
        </row>
        <row r="163">
          <cell r="C163">
            <v>265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60">
          <cell r="C160">
            <v>372</v>
          </cell>
        </row>
        <row r="161">
          <cell r="C161">
            <v>53</v>
          </cell>
        </row>
        <row r="162">
          <cell r="C162">
            <v>33</v>
          </cell>
        </row>
        <row r="163">
          <cell r="C163">
            <v>202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60">
          <cell r="C160">
            <v>33</v>
          </cell>
        </row>
        <row r="161">
          <cell r="C161">
            <v>7</v>
          </cell>
        </row>
        <row r="162">
          <cell r="C162">
            <v>17</v>
          </cell>
        </row>
        <row r="163">
          <cell r="C163">
            <v>168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60">
          <cell r="C160">
            <v>151</v>
          </cell>
        </row>
        <row r="161">
          <cell r="C161">
            <v>26</v>
          </cell>
        </row>
        <row r="162">
          <cell r="C162">
            <v>44</v>
          </cell>
        </row>
        <row r="163">
          <cell r="C163">
            <v>194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60">
          <cell r="C160">
            <v>129</v>
          </cell>
        </row>
        <row r="161">
          <cell r="C161">
            <v>69</v>
          </cell>
        </row>
        <row r="162">
          <cell r="C162">
            <v>15</v>
          </cell>
        </row>
        <row r="163">
          <cell r="C163">
            <v>1477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60">
          <cell r="C160">
            <v>546</v>
          </cell>
        </row>
        <row r="161">
          <cell r="C161">
            <v>165</v>
          </cell>
        </row>
        <row r="162">
          <cell r="C162">
            <v>171</v>
          </cell>
        </row>
        <row r="163">
          <cell r="C163">
            <v>364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60">
          <cell r="C160">
            <v>230</v>
          </cell>
        </row>
        <row r="161">
          <cell r="C161">
            <v>68</v>
          </cell>
        </row>
        <row r="162">
          <cell r="C162">
            <v>97</v>
          </cell>
        </row>
        <row r="163">
          <cell r="C163">
            <v>350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60">
          <cell r="C160">
            <v>131</v>
          </cell>
        </row>
        <row r="161">
          <cell r="C161">
            <v>44</v>
          </cell>
        </row>
        <row r="162">
          <cell r="C162">
            <v>56</v>
          </cell>
        </row>
        <row r="163">
          <cell r="C163">
            <v>197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Sheet1"/>
    </sheetNames>
    <sheetDataSet>
      <sheetData sheetId="0">
        <row r="160">
          <cell r="C160">
            <v>202</v>
          </cell>
        </row>
        <row r="161">
          <cell r="C161">
            <v>33</v>
          </cell>
        </row>
        <row r="162">
          <cell r="C162">
            <v>28</v>
          </cell>
        </row>
        <row r="163">
          <cell r="C163">
            <v>511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60">
          <cell r="C160">
            <v>421</v>
          </cell>
        </row>
        <row r="161">
          <cell r="C161">
            <v>127</v>
          </cell>
        </row>
        <row r="162">
          <cell r="C162">
            <v>246</v>
          </cell>
        </row>
        <row r="163">
          <cell r="C163">
            <v>374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60">
          <cell r="C160">
            <v>92</v>
          </cell>
        </row>
        <row r="161">
          <cell r="C161">
            <v>24</v>
          </cell>
        </row>
        <row r="162">
          <cell r="C162">
            <v>20</v>
          </cell>
        </row>
        <row r="163">
          <cell r="C163">
            <v>212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60">
          <cell r="C160">
            <v>295</v>
          </cell>
        </row>
        <row r="161">
          <cell r="C161">
            <v>108</v>
          </cell>
        </row>
        <row r="162">
          <cell r="C162">
            <v>114</v>
          </cell>
        </row>
        <row r="163">
          <cell r="C163">
            <v>358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60">
          <cell r="C160">
            <v>323</v>
          </cell>
        </row>
        <row r="161">
          <cell r="C161">
            <v>150</v>
          </cell>
        </row>
        <row r="162">
          <cell r="C162">
            <v>102</v>
          </cell>
        </row>
        <row r="163">
          <cell r="C163">
            <v>385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60">
          <cell r="C160">
            <v>98</v>
          </cell>
        </row>
        <row r="161">
          <cell r="C161">
            <v>8</v>
          </cell>
        </row>
        <row r="162">
          <cell r="C162">
            <v>20</v>
          </cell>
        </row>
        <row r="163">
          <cell r="C163">
            <v>340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60">
          <cell r="C160">
            <v>11</v>
          </cell>
        </row>
        <row r="161">
          <cell r="C161">
            <v>8</v>
          </cell>
        </row>
        <row r="162">
          <cell r="C162">
            <v>28</v>
          </cell>
        </row>
        <row r="163">
          <cell r="C163">
            <v>1262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60">
          <cell r="C160">
            <v>606</v>
          </cell>
        </row>
        <row r="161">
          <cell r="C161">
            <v>194</v>
          </cell>
        </row>
        <row r="162">
          <cell r="C162">
            <v>174</v>
          </cell>
        </row>
        <row r="163">
          <cell r="C163">
            <v>717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60">
          <cell r="C160">
            <v>342</v>
          </cell>
        </row>
        <row r="161">
          <cell r="C161">
            <v>75</v>
          </cell>
        </row>
        <row r="162">
          <cell r="C162">
            <v>192</v>
          </cell>
        </row>
        <row r="163">
          <cell r="C163">
            <v>246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60">
          <cell r="C160">
            <v>699</v>
          </cell>
        </row>
        <row r="161">
          <cell r="C161">
            <v>219</v>
          </cell>
        </row>
        <row r="162">
          <cell r="C162">
            <v>455</v>
          </cell>
        </row>
        <row r="163">
          <cell r="C163">
            <v>586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"/>
  <sheetViews>
    <sheetView topLeftCell="A5" zoomScale="40" zoomScaleNormal="40" workbookViewId="0">
      <selection activeCell="O21" sqref="O21"/>
    </sheetView>
  </sheetViews>
  <sheetFormatPr defaultRowHeight="14.5" x14ac:dyDescent="0.35"/>
  <cols>
    <col min="1" max="1" width="3.36328125" bestFit="1" customWidth="1"/>
    <col min="2" max="2" width="35.453125" bestFit="1" customWidth="1"/>
    <col min="3" max="13" width="11.90625" customWidth="1"/>
    <col min="15" max="15" width="12.1796875" bestFit="1" customWidth="1"/>
  </cols>
  <sheetData>
    <row r="1" spans="1:13" s="5" customFormat="1" ht="38.5" customHeight="1" x14ac:dyDescent="0.35">
      <c r="A1" s="4" t="s">
        <v>0</v>
      </c>
      <c r="B1" s="4" t="s">
        <v>1</v>
      </c>
      <c r="C1" s="4" t="s">
        <v>27</v>
      </c>
      <c r="D1" s="4" t="s">
        <v>28</v>
      </c>
      <c r="E1" s="4" t="s">
        <v>29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4" t="s">
        <v>7</v>
      </c>
      <c r="L1" s="4" t="s">
        <v>8</v>
      </c>
      <c r="M1" s="4" t="s">
        <v>56</v>
      </c>
    </row>
    <row r="2" spans="1:13" s="5" customFormat="1" ht="24.5" customHeight="1" x14ac:dyDescent="0.35">
      <c r="A2" s="2">
        <v>1</v>
      </c>
      <c r="B2" s="6" t="s">
        <v>9</v>
      </c>
      <c r="C2" s="2">
        <v>28</v>
      </c>
      <c r="D2" s="2">
        <v>7</v>
      </c>
      <c r="E2" s="7"/>
      <c r="F2" s="6">
        <f>C2+D2</f>
        <v>35</v>
      </c>
      <c r="G2" s="2">
        <v>20</v>
      </c>
      <c r="H2" s="2">
        <f>F2*G2</f>
        <v>700</v>
      </c>
      <c r="I2" s="2">
        <f>H2-L2</f>
        <v>669</v>
      </c>
      <c r="J2" s="2">
        <f>[1]Sheet1!$C$160</f>
        <v>165</v>
      </c>
      <c r="K2" s="2">
        <f>[1]Sheet1!$C$161</f>
        <v>47</v>
      </c>
      <c r="L2" s="2">
        <f>[1]Sheet1!$C$162</f>
        <v>31</v>
      </c>
      <c r="M2" s="2">
        <f>[1]Sheet1!$C$163</f>
        <v>486</v>
      </c>
    </row>
    <row r="3" spans="1:13" s="5" customFormat="1" ht="24.5" customHeight="1" x14ac:dyDescent="0.35">
      <c r="A3" s="2">
        <v>2</v>
      </c>
      <c r="B3" s="6" t="s">
        <v>30</v>
      </c>
      <c r="C3" s="2">
        <v>22</v>
      </c>
      <c r="D3" s="2">
        <v>2</v>
      </c>
      <c r="E3" s="7">
        <v>1</v>
      </c>
      <c r="F3" s="6">
        <f t="shared" ref="F3:F27" si="0">C3+D3</f>
        <v>24</v>
      </c>
      <c r="G3" s="2">
        <v>20</v>
      </c>
      <c r="H3" s="2">
        <f>F3*G3</f>
        <v>480</v>
      </c>
      <c r="I3" s="2">
        <f t="shared" ref="I3:I27" si="1">H3-L3</f>
        <v>456</v>
      </c>
      <c r="J3" s="2">
        <f>[2]Sheet1!$C$160</f>
        <v>159</v>
      </c>
      <c r="K3" s="2">
        <f>[2]Sheet1!$C$161</f>
        <v>33</v>
      </c>
      <c r="L3" s="2">
        <f>[2]Sheet1!$C$162</f>
        <v>24</v>
      </c>
      <c r="M3" s="2">
        <f>[2]Sheet1!$C$163</f>
        <v>283</v>
      </c>
    </row>
    <row r="4" spans="1:13" s="5" customFormat="1" ht="24.5" customHeight="1" x14ac:dyDescent="0.35">
      <c r="A4" s="2">
        <v>3</v>
      </c>
      <c r="B4" s="6" t="s">
        <v>31</v>
      </c>
      <c r="C4" s="6">
        <f>16-2</f>
        <v>14</v>
      </c>
      <c r="D4" s="2">
        <v>8</v>
      </c>
      <c r="E4" s="7">
        <v>5</v>
      </c>
      <c r="F4" s="6">
        <f t="shared" si="0"/>
        <v>22</v>
      </c>
      <c r="G4" s="2">
        <v>20</v>
      </c>
      <c r="H4" s="2">
        <f>F4*G4</f>
        <v>440</v>
      </c>
      <c r="I4" s="2">
        <f t="shared" si="1"/>
        <v>423</v>
      </c>
      <c r="J4" s="2">
        <f>[3]Sheet1!$C$160</f>
        <v>200</v>
      </c>
      <c r="K4" s="2">
        <f>[3]Sheet1!$C$161</f>
        <v>18</v>
      </c>
      <c r="L4" s="2">
        <f>[3]Sheet1!$C$162</f>
        <v>17</v>
      </c>
      <c r="M4" s="2">
        <f>[3]Sheet1!$C$163</f>
        <v>212</v>
      </c>
    </row>
    <row r="5" spans="1:13" s="5" customFormat="1" ht="24.5" customHeight="1" x14ac:dyDescent="0.35">
      <c r="A5" s="2">
        <v>4</v>
      </c>
      <c r="B5" s="6" t="s">
        <v>32</v>
      </c>
      <c r="C5" s="2">
        <v>60</v>
      </c>
      <c r="D5" s="2">
        <v>31</v>
      </c>
      <c r="E5" s="7"/>
      <c r="F5" s="6">
        <f t="shared" si="0"/>
        <v>91</v>
      </c>
      <c r="G5" s="2">
        <v>20</v>
      </c>
      <c r="H5" s="2">
        <f>F5*G5</f>
        <v>1820</v>
      </c>
      <c r="I5" s="2">
        <f t="shared" si="1"/>
        <v>1723</v>
      </c>
      <c r="J5" s="2">
        <f>[4]Sheet1!$C$160</f>
        <v>474</v>
      </c>
      <c r="K5" s="2">
        <f>[4]Sheet1!$C$161</f>
        <v>92</v>
      </c>
      <c r="L5" s="2">
        <f>[4]Sheet1!$C$162</f>
        <v>97</v>
      </c>
      <c r="M5" s="2">
        <f>[4]Sheet1!$C$163</f>
        <v>759</v>
      </c>
    </row>
    <row r="6" spans="1:13" s="5" customFormat="1" ht="24.5" customHeight="1" x14ac:dyDescent="0.35">
      <c r="A6" s="2">
        <v>5</v>
      </c>
      <c r="B6" s="6" t="s">
        <v>33</v>
      </c>
      <c r="C6" s="6">
        <v>21</v>
      </c>
      <c r="D6" s="2"/>
      <c r="E6" s="7">
        <v>1</v>
      </c>
      <c r="F6" s="6">
        <f t="shared" si="0"/>
        <v>21</v>
      </c>
      <c r="G6" s="2">
        <v>20</v>
      </c>
      <c r="H6" s="2">
        <f>F6*G6</f>
        <v>420</v>
      </c>
      <c r="I6" s="2">
        <f t="shared" si="1"/>
        <v>406</v>
      </c>
      <c r="J6" s="2">
        <f>[5]Sheet1!$C$160</f>
        <v>90</v>
      </c>
      <c r="K6" s="2">
        <f>[5]Sheet1!$C$161</f>
        <v>9</v>
      </c>
      <c r="L6" s="2">
        <f>[5]Sheet1!$C$162</f>
        <v>14</v>
      </c>
      <c r="M6" s="2">
        <f>[5]Sheet1!$C$163</f>
        <v>313</v>
      </c>
    </row>
    <row r="7" spans="1:13" s="5" customFormat="1" ht="24.5" customHeight="1" x14ac:dyDescent="0.35">
      <c r="A7" s="2">
        <v>6</v>
      </c>
      <c r="B7" s="6" t="s">
        <v>34</v>
      </c>
      <c r="C7" s="2">
        <v>29</v>
      </c>
      <c r="D7" s="2">
        <v>8</v>
      </c>
      <c r="E7" s="7">
        <v>2</v>
      </c>
      <c r="F7" s="6">
        <f t="shared" si="0"/>
        <v>37</v>
      </c>
      <c r="G7" s="2">
        <v>20</v>
      </c>
      <c r="H7" s="2">
        <f t="shared" ref="H5:H27" si="2">F7*G7</f>
        <v>740</v>
      </c>
      <c r="I7" s="2">
        <f t="shared" si="1"/>
        <v>679</v>
      </c>
      <c r="J7" s="2">
        <f>[6]Sheet1!$C$160</f>
        <v>213</v>
      </c>
      <c r="K7" s="2">
        <f>[6]Sheet1!$C$161</f>
        <v>59</v>
      </c>
      <c r="L7" s="2">
        <f>[6]Sheet1!$C$162</f>
        <v>61</v>
      </c>
      <c r="M7" s="2">
        <f>[6]Sheet1!$C$163</f>
        <v>413</v>
      </c>
    </row>
    <row r="8" spans="1:13" s="5" customFormat="1" ht="24.5" customHeight="1" x14ac:dyDescent="0.35">
      <c r="A8" s="2">
        <v>7</v>
      </c>
      <c r="B8" s="6" t="s">
        <v>35</v>
      </c>
      <c r="C8" s="2">
        <v>59</v>
      </c>
      <c r="D8" s="2">
        <v>7</v>
      </c>
      <c r="E8" s="7">
        <v>4</v>
      </c>
      <c r="F8" s="6">
        <f>C8+D8</f>
        <v>66</v>
      </c>
      <c r="G8" s="2">
        <v>20</v>
      </c>
      <c r="H8" s="2">
        <f>F8*G8</f>
        <v>1320</v>
      </c>
      <c r="I8" s="2">
        <f t="shared" si="1"/>
        <v>1266</v>
      </c>
      <c r="J8" s="2">
        <f>[7]Sheet1!$C$160</f>
        <v>493</v>
      </c>
      <c r="K8" s="2">
        <f>[7]Sheet1!$C$161</f>
        <v>78</v>
      </c>
      <c r="L8" s="2">
        <f>[7]Sheet1!$C$162</f>
        <v>54</v>
      </c>
      <c r="M8" s="2">
        <f>[7]Sheet1!$C$163</f>
        <v>480</v>
      </c>
    </row>
    <row r="9" spans="1:13" s="5" customFormat="1" ht="24.5" customHeight="1" x14ac:dyDescent="0.35">
      <c r="A9" s="2">
        <v>8</v>
      </c>
      <c r="B9" s="6" t="s">
        <v>36</v>
      </c>
      <c r="C9" s="2">
        <v>25</v>
      </c>
      <c r="D9" s="2">
        <v>2</v>
      </c>
      <c r="E9" s="7">
        <v>1</v>
      </c>
      <c r="F9" s="6">
        <f t="shared" si="0"/>
        <v>27</v>
      </c>
      <c r="G9" s="2">
        <v>20</v>
      </c>
      <c r="H9" s="2">
        <f t="shared" si="2"/>
        <v>540</v>
      </c>
      <c r="I9" s="2">
        <f t="shared" si="1"/>
        <v>513</v>
      </c>
      <c r="J9" s="2">
        <f>[8]Sheet1!$C$160</f>
        <v>177</v>
      </c>
      <c r="K9" s="2">
        <f>[8]Sheet1!$C$161</f>
        <v>60</v>
      </c>
      <c r="L9" s="2">
        <f>[8]Sheet1!$C$162</f>
        <v>27</v>
      </c>
      <c r="M9" s="2">
        <f>[8]Sheet1!$C$163</f>
        <v>287</v>
      </c>
    </row>
    <row r="10" spans="1:13" s="5" customFormat="1" ht="24.5" customHeight="1" x14ac:dyDescent="0.35">
      <c r="A10" s="2">
        <v>9</v>
      </c>
      <c r="B10" s="6" t="s">
        <v>37</v>
      </c>
      <c r="C10" s="2">
        <v>25</v>
      </c>
      <c r="D10" s="2">
        <v>7</v>
      </c>
      <c r="E10" s="7"/>
      <c r="F10" s="6">
        <f t="shared" si="0"/>
        <v>32</v>
      </c>
      <c r="G10" s="2">
        <v>20</v>
      </c>
      <c r="H10" s="2">
        <f t="shared" si="2"/>
        <v>640</v>
      </c>
      <c r="I10" s="2">
        <f t="shared" si="1"/>
        <v>607</v>
      </c>
      <c r="J10" s="2">
        <f>[10]Sheet1!$C$160</f>
        <v>372</v>
      </c>
      <c r="K10" s="2">
        <f>[10]Sheet1!$C$161</f>
        <v>53</v>
      </c>
      <c r="L10" s="2">
        <f>[10]Sheet1!$C$162</f>
        <v>33</v>
      </c>
      <c r="M10" s="2">
        <f>[10]Sheet1!$C$163</f>
        <v>202</v>
      </c>
    </row>
    <row r="11" spans="1:13" s="5" customFormat="1" ht="24.5" customHeight="1" x14ac:dyDescent="0.35">
      <c r="A11" s="2">
        <v>10</v>
      </c>
      <c r="B11" s="6" t="s">
        <v>38</v>
      </c>
      <c r="C11" s="2">
        <v>29</v>
      </c>
      <c r="D11" s="2">
        <v>3</v>
      </c>
      <c r="E11" s="7">
        <v>2</v>
      </c>
      <c r="F11" s="6">
        <f t="shared" si="0"/>
        <v>32</v>
      </c>
      <c r="G11" s="2">
        <v>20</v>
      </c>
      <c r="H11" s="2">
        <f t="shared" si="2"/>
        <v>640</v>
      </c>
      <c r="I11" s="2">
        <f t="shared" si="1"/>
        <v>581</v>
      </c>
      <c r="J11" s="2">
        <f>[9]Sheet1!$C$160</f>
        <v>181</v>
      </c>
      <c r="K11" s="2">
        <f>[9]Sheet1!$C$161</f>
        <v>39</v>
      </c>
      <c r="L11" s="2">
        <f>[9]Sheet1!$C$162</f>
        <v>59</v>
      </c>
      <c r="M11" s="2">
        <f>[9]Sheet1!$C$163</f>
        <v>265</v>
      </c>
    </row>
    <row r="12" spans="1:13" s="5" customFormat="1" ht="24.5" customHeight="1" x14ac:dyDescent="0.35">
      <c r="A12" s="2">
        <v>11</v>
      </c>
      <c r="B12" s="6" t="s">
        <v>39</v>
      </c>
      <c r="C12" s="2">
        <v>11</v>
      </c>
      <c r="D12" s="2"/>
      <c r="E12" s="7">
        <v>7</v>
      </c>
      <c r="F12" s="6">
        <f t="shared" si="0"/>
        <v>11</v>
      </c>
      <c r="G12" s="2">
        <v>20</v>
      </c>
      <c r="H12" s="2">
        <f t="shared" si="2"/>
        <v>220</v>
      </c>
      <c r="I12" s="2">
        <f t="shared" si="1"/>
        <v>203</v>
      </c>
      <c r="J12" s="2">
        <f>[11]Sheet1!$C$160</f>
        <v>33</v>
      </c>
      <c r="K12" s="2">
        <f>[11]Sheet1!$C$161</f>
        <v>7</v>
      </c>
      <c r="L12" s="2">
        <f>[11]Sheet1!$C$162</f>
        <v>17</v>
      </c>
      <c r="M12" s="2">
        <f>[11]Sheet1!$C$163</f>
        <v>168</v>
      </c>
    </row>
    <row r="13" spans="1:13" s="5" customFormat="1" ht="24.5" customHeight="1" x14ac:dyDescent="0.35">
      <c r="A13" s="2">
        <v>12</v>
      </c>
      <c r="B13" s="6" t="s">
        <v>40</v>
      </c>
      <c r="C13" s="2">
        <v>18</v>
      </c>
      <c r="D13" s="2">
        <v>2</v>
      </c>
      <c r="E13" s="7">
        <v>0</v>
      </c>
      <c r="F13" s="6">
        <f t="shared" si="0"/>
        <v>20</v>
      </c>
      <c r="G13" s="2">
        <v>20</v>
      </c>
      <c r="H13" s="2">
        <f t="shared" si="2"/>
        <v>400</v>
      </c>
      <c r="I13" s="2">
        <f t="shared" si="1"/>
        <v>356</v>
      </c>
      <c r="J13" s="2">
        <f>[12]Sheet1!$C$160</f>
        <v>151</v>
      </c>
      <c r="K13" s="2">
        <f>[12]Sheet1!$C$161</f>
        <v>26</v>
      </c>
      <c r="L13" s="2">
        <f>[12]Sheet1!$C$162</f>
        <v>44</v>
      </c>
      <c r="M13" s="2">
        <f>[12]Sheet1!$C$163</f>
        <v>194</v>
      </c>
    </row>
    <row r="14" spans="1:13" s="5" customFormat="1" ht="24.5" customHeight="1" x14ac:dyDescent="0.35">
      <c r="A14" s="2">
        <v>13</v>
      </c>
      <c r="B14" s="6" t="s">
        <v>41</v>
      </c>
      <c r="C14" s="2">
        <v>41</v>
      </c>
      <c r="D14" s="2">
        <v>43</v>
      </c>
      <c r="E14" s="7">
        <v>32</v>
      </c>
      <c r="F14" s="6">
        <f t="shared" si="0"/>
        <v>84</v>
      </c>
      <c r="G14" s="2">
        <v>20</v>
      </c>
      <c r="H14" s="2">
        <f t="shared" si="2"/>
        <v>1680</v>
      </c>
      <c r="I14" s="2">
        <f t="shared" si="1"/>
        <v>1665</v>
      </c>
      <c r="J14" s="2">
        <f>[13]Sheet1!$C$160</f>
        <v>129</v>
      </c>
      <c r="K14" s="2">
        <f>[13]Sheet1!$C$161</f>
        <v>69</v>
      </c>
      <c r="L14" s="2">
        <f>[13]Sheet1!$C$162</f>
        <v>15</v>
      </c>
      <c r="M14" s="2">
        <f>[13]Sheet1!$C$163</f>
        <v>1477</v>
      </c>
    </row>
    <row r="15" spans="1:13" s="5" customFormat="1" ht="24.5" customHeight="1" x14ac:dyDescent="0.35">
      <c r="A15" s="2">
        <v>14</v>
      </c>
      <c r="B15" s="6" t="s">
        <v>42</v>
      </c>
      <c r="C15" s="2">
        <v>33</v>
      </c>
      <c r="D15" s="2">
        <v>2</v>
      </c>
      <c r="E15" s="7">
        <v>29</v>
      </c>
      <c r="F15" s="6">
        <f t="shared" si="0"/>
        <v>35</v>
      </c>
      <c r="G15" s="2">
        <v>20</v>
      </c>
      <c r="H15" s="2">
        <f t="shared" si="2"/>
        <v>700</v>
      </c>
      <c r="I15" s="2">
        <f t="shared" si="1"/>
        <v>603</v>
      </c>
      <c r="J15" s="2">
        <f>[15]Sheet1!$C$160</f>
        <v>230</v>
      </c>
      <c r="K15" s="2">
        <f>[15]Sheet1!$C$161</f>
        <v>68</v>
      </c>
      <c r="L15" s="2">
        <f>[15]Sheet1!$C$162</f>
        <v>97</v>
      </c>
      <c r="M15" s="2">
        <f>[15]Sheet1!$C$163</f>
        <v>350</v>
      </c>
    </row>
    <row r="16" spans="1:13" s="5" customFormat="1" ht="24.5" customHeight="1" x14ac:dyDescent="0.35">
      <c r="A16" s="2">
        <v>15</v>
      </c>
      <c r="B16" s="6" t="s">
        <v>43</v>
      </c>
      <c r="C16" s="6">
        <v>70</v>
      </c>
      <c r="D16" s="2">
        <v>6</v>
      </c>
      <c r="E16" s="7">
        <v>8</v>
      </c>
      <c r="F16" s="6">
        <f t="shared" si="0"/>
        <v>76</v>
      </c>
      <c r="G16" s="2">
        <v>20</v>
      </c>
      <c r="H16" s="2">
        <f t="shared" si="2"/>
        <v>1520</v>
      </c>
      <c r="I16" s="2">
        <f t="shared" si="1"/>
        <v>1349</v>
      </c>
      <c r="J16" s="2">
        <f>[14]Sheet1!$C$160</f>
        <v>546</v>
      </c>
      <c r="K16" s="2">
        <f>[14]Sheet1!$C$161</f>
        <v>165</v>
      </c>
      <c r="L16" s="2">
        <f>[14]Sheet1!$C$162</f>
        <v>171</v>
      </c>
      <c r="M16" s="2">
        <f>[14]Sheet1!$C$163</f>
        <v>364</v>
      </c>
    </row>
    <row r="17" spans="1:13" s="5" customFormat="1" ht="24.5" customHeight="1" x14ac:dyDescent="0.35">
      <c r="A17" s="2">
        <v>16</v>
      </c>
      <c r="B17" s="6" t="s">
        <v>44</v>
      </c>
      <c r="C17" s="2">
        <v>17</v>
      </c>
      <c r="D17" s="2">
        <v>4</v>
      </c>
      <c r="E17" s="7"/>
      <c r="F17" s="6">
        <f t="shared" si="0"/>
        <v>21</v>
      </c>
      <c r="G17" s="2">
        <v>20</v>
      </c>
      <c r="H17" s="2">
        <f t="shared" si="2"/>
        <v>420</v>
      </c>
      <c r="I17" s="2">
        <f t="shared" si="1"/>
        <v>364</v>
      </c>
      <c r="J17" s="2">
        <f>[16]Sheet1!$C$160</f>
        <v>131</v>
      </c>
      <c r="K17" s="2">
        <f>[16]Sheet1!$C$161</f>
        <v>44</v>
      </c>
      <c r="L17" s="2">
        <f>[16]Sheet1!$C$162</f>
        <v>56</v>
      </c>
      <c r="M17" s="2">
        <f>[16]Sheet1!$C$163</f>
        <v>197</v>
      </c>
    </row>
    <row r="18" spans="1:13" s="5" customFormat="1" ht="24.5" customHeight="1" x14ac:dyDescent="0.35">
      <c r="A18" s="2">
        <v>17</v>
      </c>
      <c r="B18" s="6" t="s">
        <v>45</v>
      </c>
      <c r="C18" s="6">
        <v>28</v>
      </c>
      <c r="D18" s="6">
        <v>14</v>
      </c>
      <c r="E18" s="7">
        <v>1</v>
      </c>
      <c r="F18" s="6">
        <f t="shared" si="0"/>
        <v>42</v>
      </c>
      <c r="G18" s="2">
        <v>20</v>
      </c>
      <c r="H18" s="2">
        <f t="shared" si="2"/>
        <v>840</v>
      </c>
      <c r="I18" s="2">
        <f t="shared" si="1"/>
        <v>812</v>
      </c>
      <c r="J18" s="2">
        <f>[17]Sheet1!$C$160</f>
        <v>202</v>
      </c>
      <c r="K18" s="2">
        <f>[17]Sheet1!$C$161</f>
        <v>33</v>
      </c>
      <c r="L18" s="2">
        <f>[17]Sheet1!$C$162</f>
        <v>28</v>
      </c>
      <c r="M18" s="2">
        <f>[17]Sheet1!$C$163</f>
        <v>511</v>
      </c>
    </row>
    <row r="19" spans="1:13" s="5" customFormat="1" ht="24.5" customHeight="1" x14ac:dyDescent="0.35">
      <c r="A19" s="2">
        <v>18</v>
      </c>
      <c r="B19" s="6" t="s">
        <v>46</v>
      </c>
      <c r="C19" s="6">
        <v>65</v>
      </c>
      <c r="D19" s="6">
        <v>3</v>
      </c>
      <c r="E19" s="7">
        <v>9</v>
      </c>
      <c r="F19" s="6">
        <f t="shared" si="0"/>
        <v>68</v>
      </c>
      <c r="G19" s="2">
        <v>20</v>
      </c>
      <c r="H19" s="2">
        <f t="shared" si="2"/>
        <v>1360</v>
      </c>
      <c r="I19" s="2">
        <f t="shared" si="1"/>
        <v>1114</v>
      </c>
      <c r="J19" s="2">
        <f>[18]Sheet1!$C$160</f>
        <v>421</v>
      </c>
      <c r="K19" s="2">
        <f>[18]Sheet1!$C$161</f>
        <v>127</v>
      </c>
      <c r="L19" s="2">
        <f>[18]Sheet1!$C$162</f>
        <v>246</v>
      </c>
      <c r="M19" s="2">
        <f>[18]Sheet1!$C$163</f>
        <v>374</v>
      </c>
    </row>
    <row r="20" spans="1:13" s="5" customFormat="1" ht="24.5" customHeight="1" x14ac:dyDescent="0.35">
      <c r="A20" s="2">
        <v>19</v>
      </c>
      <c r="B20" s="6" t="s">
        <v>47</v>
      </c>
      <c r="C20" s="6">
        <v>38</v>
      </c>
      <c r="D20" s="6">
        <v>7</v>
      </c>
      <c r="E20" s="7">
        <v>16</v>
      </c>
      <c r="F20" s="6">
        <f t="shared" si="0"/>
        <v>45</v>
      </c>
      <c r="G20" s="2">
        <v>20</v>
      </c>
      <c r="H20" s="2">
        <f t="shared" si="2"/>
        <v>900</v>
      </c>
      <c r="I20" s="2">
        <f t="shared" si="1"/>
        <v>786</v>
      </c>
      <c r="J20" s="2">
        <f>[20]Sheet1!$C$160</f>
        <v>295</v>
      </c>
      <c r="K20" s="2">
        <f>[20]Sheet1!$C$161</f>
        <v>108</v>
      </c>
      <c r="L20" s="2">
        <f>[20]Sheet1!$C$162</f>
        <v>114</v>
      </c>
      <c r="M20" s="2">
        <f>[20]Sheet1!$C$163</f>
        <v>358</v>
      </c>
    </row>
    <row r="21" spans="1:13" s="5" customFormat="1" ht="24.5" customHeight="1" x14ac:dyDescent="0.35">
      <c r="A21" s="2">
        <v>20</v>
      </c>
      <c r="B21" s="6" t="s">
        <v>48</v>
      </c>
      <c r="C21" s="6">
        <f>16+1</f>
        <v>17</v>
      </c>
      <c r="D21" s="2"/>
      <c r="E21" s="7">
        <v>3</v>
      </c>
      <c r="F21" s="6">
        <f t="shared" si="0"/>
        <v>17</v>
      </c>
      <c r="G21" s="2">
        <v>20</v>
      </c>
      <c r="H21" s="2">
        <f t="shared" si="2"/>
        <v>340</v>
      </c>
      <c r="I21" s="2">
        <f t="shared" si="1"/>
        <v>320</v>
      </c>
      <c r="J21" s="2">
        <f>[19]Sheet1!$C$160</f>
        <v>92</v>
      </c>
      <c r="K21" s="2">
        <f>[19]Sheet1!$C$161</f>
        <v>24</v>
      </c>
      <c r="L21" s="2">
        <f>[19]Sheet1!$C$162</f>
        <v>20</v>
      </c>
      <c r="M21" s="2">
        <f>[19]Sheet1!$C$163</f>
        <v>212</v>
      </c>
    </row>
    <row r="22" spans="1:13" s="5" customFormat="1" ht="24.5" customHeight="1" x14ac:dyDescent="0.35">
      <c r="A22" s="2">
        <v>21</v>
      </c>
      <c r="B22" s="6" t="s">
        <v>49</v>
      </c>
      <c r="C22" s="6">
        <f>51-1</f>
        <v>50</v>
      </c>
      <c r="D22" s="2">
        <v>8</v>
      </c>
      <c r="E22" s="7">
        <v>6</v>
      </c>
      <c r="F22" s="6">
        <f t="shared" si="0"/>
        <v>58</v>
      </c>
      <c r="G22" s="2">
        <v>20</v>
      </c>
      <c r="H22" s="2">
        <f t="shared" si="2"/>
        <v>1160</v>
      </c>
      <c r="I22" s="2">
        <f t="shared" si="1"/>
        <v>1058</v>
      </c>
      <c r="J22" s="2">
        <f>[21]Sheet1!$C$160</f>
        <v>323</v>
      </c>
      <c r="K22" s="2">
        <f>[21]Sheet1!$C$161</f>
        <v>150</v>
      </c>
      <c r="L22" s="2">
        <f>[21]Sheet1!$C$162</f>
        <v>102</v>
      </c>
      <c r="M22" s="2">
        <f>[21]Sheet1!$C$163</f>
        <v>385</v>
      </c>
    </row>
    <row r="23" spans="1:13" s="5" customFormat="1" ht="24.5" customHeight="1" x14ac:dyDescent="0.35">
      <c r="A23" s="2">
        <v>22</v>
      </c>
      <c r="B23" s="6" t="s">
        <v>50</v>
      </c>
      <c r="C23" s="6">
        <f>23-1</f>
        <v>22</v>
      </c>
      <c r="D23" s="2">
        <v>1</v>
      </c>
      <c r="E23" s="7"/>
      <c r="F23" s="6">
        <f t="shared" si="0"/>
        <v>23</v>
      </c>
      <c r="G23" s="2">
        <v>20</v>
      </c>
      <c r="H23" s="2">
        <f t="shared" si="2"/>
        <v>460</v>
      </c>
      <c r="I23" s="2">
        <f t="shared" si="1"/>
        <v>440</v>
      </c>
      <c r="J23" s="2">
        <f>[22]Sheet1!$C$160</f>
        <v>98</v>
      </c>
      <c r="K23" s="2">
        <f>[22]Sheet1!$C$161</f>
        <v>8</v>
      </c>
      <c r="L23" s="2">
        <f>[22]Sheet1!$C$162</f>
        <v>20</v>
      </c>
      <c r="M23" s="2">
        <f>[22]Sheet1!$C$163</f>
        <v>340</v>
      </c>
    </row>
    <row r="24" spans="1:13" s="5" customFormat="1" ht="24.5" customHeight="1" x14ac:dyDescent="0.35">
      <c r="A24" s="2">
        <v>23</v>
      </c>
      <c r="B24" s="6" t="s">
        <v>10</v>
      </c>
      <c r="C24" s="2">
        <v>65</v>
      </c>
      <c r="D24" s="2">
        <v>1</v>
      </c>
      <c r="E24" s="7">
        <v>1</v>
      </c>
      <c r="F24" s="6">
        <f t="shared" si="0"/>
        <v>66</v>
      </c>
      <c r="G24" s="2">
        <v>20</v>
      </c>
      <c r="H24" s="2">
        <f t="shared" si="2"/>
        <v>1320</v>
      </c>
      <c r="I24" s="2">
        <f t="shared" si="1"/>
        <v>1292</v>
      </c>
      <c r="J24" s="2">
        <f>[23]Sheet1!$C$160</f>
        <v>11</v>
      </c>
      <c r="K24" s="2">
        <f>[23]Sheet1!$C$161</f>
        <v>8</v>
      </c>
      <c r="L24" s="2">
        <f>[23]Sheet1!$C$162</f>
        <v>28</v>
      </c>
      <c r="M24" s="2">
        <f>[23]Sheet1!$C$163</f>
        <v>1262</v>
      </c>
    </row>
    <row r="25" spans="1:13" s="5" customFormat="1" ht="24.5" customHeight="1" x14ac:dyDescent="0.35">
      <c r="A25" s="2">
        <v>24</v>
      </c>
      <c r="B25" s="6" t="s">
        <v>51</v>
      </c>
      <c r="C25" s="2">
        <v>51</v>
      </c>
      <c r="D25" s="2">
        <v>50</v>
      </c>
      <c r="E25" s="7">
        <v>5</v>
      </c>
      <c r="F25" s="6">
        <f t="shared" si="0"/>
        <v>101</v>
      </c>
      <c r="G25" s="2">
        <v>20</v>
      </c>
      <c r="H25" s="2">
        <f t="shared" si="2"/>
        <v>2020</v>
      </c>
      <c r="I25" s="2">
        <f t="shared" si="1"/>
        <v>1846</v>
      </c>
      <c r="J25" s="2">
        <f>[24]Sheet1!$C$160</f>
        <v>606</v>
      </c>
      <c r="K25" s="2">
        <f>[24]Sheet1!$C$161</f>
        <v>194</v>
      </c>
      <c r="L25" s="2">
        <f>[24]Sheet1!$C$162</f>
        <v>174</v>
      </c>
      <c r="M25" s="2">
        <f>[24]Sheet1!$C$163</f>
        <v>717</v>
      </c>
    </row>
    <row r="26" spans="1:13" s="5" customFormat="1" ht="24.5" customHeight="1" x14ac:dyDescent="0.35">
      <c r="A26" s="2">
        <v>25</v>
      </c>
      <c r="B26" s="6" t="s">
        <v>52</v>
      </c>
      <c r="C26" s="2">
        <v>31</v>
      </c>
      <c r="D26" s="2">
        <v>11</v>
      </c>
      <c r="E26" s="7">
        <v>9</v>
      </c>
      <c r="F26" s="6">
        <f t="shared" si="0"/>
        <v>42</v>
      </c>
      <c r="G26" s="2">
        <v>20</v>
      </c>
      <c r="H26" s="2">
        <f t="shared" si="2"/>
        <v>840</v>
      </c>
      <c r="I26" s="2">
        <f t="shared" si="1"/>
        <v>648</v>
      </c>
      <c r="J26" s="2">
        <f>[25]Sheet1!$C$160</f>
        <v>342</v>
      </c>
      <c r="K26" s="2">
        <f>[25]Sheet1!$C$161</f>
        <v>75</v>
      </c>
      <c r="L26" s="2">
        <f>[25]Sheet1!$C$162</f>
        <v>192</v>
      </c>
      <c r="M26" s="2">
        <f>[25]Sheet1!$C$163</f>
        <v>246</v>
      </c>
    </row>
    <row r="27" spans="1:13" s="5" customFormat="1" ht="24.5" customHeight="1" x14ac:dyDescent="0.35">
      <c r="A27" s="2">
        <v>26</v>
      </c>
      <c r="B27" s="2" t="s">
        <v>53</v>
      </c>
      <c r="C27" s="2">
        <v>123</v>
      </c>
      <c r="D27" s="2">
        <v>28</v>
      </c>
      <c r="E27" s="7">
        <v>16</v>
      </c>
      <c r="F27" s="6">
        <f t="shared" si="0"/>
        <v>151</v>
      </c>
      <c r="G27" s="2">
        <v>20</v>
      </c>
      <c r="H27" s="2">
        <f t="shared" si="2"/>
        <v>3020</v>
      </c>
      <c r="I27" s="2">
        <f t="shared" si="1"/>
        <v>2565</v>
      </c>
      <c r="J27" s="2">
        <f>[26]Sheet1!$C$160</f>
        <v>699</v>
      </c>
      <c r="K27" s="2">
        <f>[26]Sheet1!$C$161</f>
        <v>219</v>
      </c>
      <c r="L27" s="2">
        <f>[26]Sheet1!$C$162</f>
        <v>455</v>
      </c>
      <c r="M27" s="2">
        <f>[26]Sheet1!$C$163</f>
        <v>586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7"/>
  <sheetViews>
    <sheetView tabSelected="1" topLeftCell="A17" zoomScale="70" zoomScaleNormal="70" workbookViewId="0">
      <pane xSplit="1" topLeftCell="K1" activePane="topRight" state="frozen"/>
      <selection pane="topRight" activeCell="O29" sqref="O29"/>
    </sheetView>
  </sheetViews>
  <sheetFormatPr defaultRowHeight="14.5" x14ac:dyDescent="0.35"/>
  <cols>
    <col min="1" max="1" width="35.453125" bestFit="1" customWidth="1"/>
    <col min="2" max="6" width="12.81640625" customWidth="1"/>
    <col min="7" max="7" width="15" customWidth="1"/>
    <col min="8" max="8" width="16.08984375" customWidth="1"/>
    <col min="9" max="9" width="12.81640625" customWidth="1"/>
    <col min="10" max="10" width="16" customWidth="1"/>
    <col min="11" max="11" width="14.1796875" customWidth="1"/>
    <col min="12" max="13" width="12.81640625" customWidth="1"/>
    <col min="14" max="14" width="15" bestFit="1" customWidth="1"/>
    <col min="16" max="16" width="8.7265625" style="11"/>
  </cols>
  <sheetData>
    <row r="1" spans="1:17" ht="45.5" customHeight="1" x14ac:dyDescent="0.35">
      <c r="A1" s="4" t="s">
        <v>1</v>
      </c>
      <c r="B1" s="4" t="s">
        <v>11</v>
      </c>
      <c r="C1" s="4" t="s">
        <v>12</v>
      </c>
      <c r="D1" s="4" t="s">
        <v>13</v>
      </c>
      <c r="E1" s="4" t="s">
        <v>57</v>
      </c>
      <c r="F1" s="4" t="s">
        <v>14</v>
      </c>
      <c r="G1" s="4" t="s">
        <v>15</v>
      </c>
      <c r="H1" s="4" t="s">
        <v>16</v>
      </c>
      <c r="I1" s="4" t="s">
        <v>59</v>
      </c>
      <c r="J1" s="4" t="s">
        <v>60</v>
      </c>
      <c r="K1" s="4" t="s">
        <v>58</v>
      </c>
      <c r="L1" s="4" t="s">
        <v>61</v>
      </c>
      <c r="M1" s="4" t="s">
        <v>17</v>
      </c>
      <c r="N1" s="4" t="s">
        <v>18</v>
      </c>
      <c r="P1" s="10" t="s">
        <v>62</v>
      </c>
    </row>
    <row r="2" spans="1:17" ht="22.5" customHeight="1" x14ac:dyDescent="0.35">
      <c r="A2" s="2" t="s">
        <v>9</v>
      </c>
      <c r="B2" s="3">
        <f>('Input Data'!I2/'Input Data'!H2)*100</f>
        <v>95.571428571428569</v>
      </c>
      <c r="C2" s="3">
        <f>'Input Data'!J2+'Input Data'!K2</f>
        <v>212</v>
      </c>
      <c r="D2" s="3">
        <f>(C2/'Input Data'!H2)*100</f>
        <v>30.285714285714288</v>
      </c>
      <c r="E2" s="3">
        <f>('Input Data'!M2/'Input Data'!H2)*100</f>
        <v>69.428571428571431</v>
      </c>
      <c r="F2" s="3">
        <f t="shared" ref="F2:F27" si="0">100-D2</f>
        <v>69.714285714285708</v>
      </c>
      <c r="G2" s="3">
        <f>('Input Data'!L2/'Input Data'!H2)*100</f>
        <v>4.4285714285714279</v>
      </c>
      <c r="H2" s="3">
        <f>100-G2</f>
        <v>95.571428571428569</v>
      </c>
      <c r="I2" s="3">
        <f>B2*0.25</f>
        <v>23.892857142857142</v>
      </c>
      <c r="J2" s="3">
        <f>F2*0.2</f>
        <v>13.942857142857143</v>
      </c>
      <c r="K2" s="3">
        <f>H2*0.15</f>
        <v>14.335714285714285</v>
      </c>
      <c r="L2" s="3">
        <f>E2*0.4</f>
        <v>27.771428571428572</v>
      </c>
      <c r="M2" s="3">
        <f>SUM(I2:L2)</f>
        <v>79.94285714285715</v>
      </c>
      <c r="N2" s="2" t="str">
        <f>IF(M2&gt;=90,"Sangat Disiplin",IF(M2&gt;=80,"Disiplin",IF(M2&gt;=70,"Cukup","Perlu Pembinaan")))</f>
        <v>Cukup</v>
      </c>
      <c r="P2" s="9">
        <v>79.94</v>
      </c>
      <c r="Q2" s="8"/>
    </row>
    <row r="3" spans="1:17" ht="22.5" customHeight="1" x14ac:dyDescent="0.35">
      <c r="A3" s="2" t="s">
        <v>30</v>
      </c>
      <c r="B3" s="3">
        <f>('Input Data'!I3/'Input Data'!H3)*100</f>
        <v>95</v>
      </c>
      <c r="C3" s="3">
        <f>'Input Data'!J3+'Input Data'!K3</f>
        <v>192</v>
      </c>
      <c r="D3" s="3">
        <f>(C3/'Input Data'!H3)*100</f>
        <v>40</v>
      </c>
      <c r="E3" s="3">
        <f>('Input Data'!M3/'Input Data'!H3)*100</f>
        <v>58.958333333333336</v>
      </c>
      <c r="F3" s="3">
        <f t="shared" si="0"/>
        <v>60</v>
      </c>
      <c r="G3" s="3">
        <f>('Input Data'!L3/'Input Data'!H3)*100</f>
        <v>5</v>
      </c>
      <c r="H3" s="3">
        <f>100-G3</f>
        <v>95</v>
      </c>
      <c r="I3" s="3">
        <f t="shared" ref="I3:I27" si="1">B3*0.25</f>
        <v>23.75</v>
      </c>
      <c r="J3" s="3">
        <f t="shared" ref="J3:J27" si="2">F3*0.2</f>
        <v>12</v>
      </c>
      <c r="K3" s="3">
        <f t="shared" ref="K3:K27" si="3">H3*0.15</f>
        <v>14.25</v>
      </c>
      <c r="L3" s="3">
        <f t="shared" ref="L3:L27" si="4">E3*0.4</f>
        <v>23.583333333333336</v>
      </c>
      <c r="M3" s="3">
        <f>SUM(I3:L3)</f>
        <v>73.583333333333343</v>
      </c>
      <c r="N3" s="2" t="str">
        <f>IF(M3&gt;=90,"Sangat Disiplin",IF(M3&gt;=80,"Disiplin",IF(M3&gt;=70,"Cukup","Perlu Pembinaan")))</f>
        <v>Cukup</v>
      </c>
      <c r="P3" s="13">
        <v>74.290000000000006</v>
      </c>
    </row>
    <row r="4" spans="1:17" ht="22.5" customHeight="1" x14ac:dyDescent="0.35">
      <c r="A4" s="2" t="s">
        <v>31</v>
      </c>
      <c r="B4" s="3">
        <f>('Input Data'!I4/'Input Data'!H4)*100</f>
        <v>96.136363636363626</v>
      </c>
      <c r="C4" s="3">
        <f>'Input Data'!J4+'Input Data'!K4</f>
        <v>218</v>
      </c>
      <c r="D4" s="3">
        <f>(C4/'Input Data'!H4)*100</f>
        <v>49.545454545454547</v>
      </c>
      <c r="E4" s="3">
        <f>('Input Data'!M4/'Input Data'!H4)*100</f>
        <v>48.18181818181818</v>
      </c>
      <c r="F4" s="3">
        <f t="shared" si="0"/>
        <v>50.454545454545453</v>
      </c>
      <c r="G4" s="3">
        <f>('Input Data'!L4/'Input Data'!H4)*100</f>
        <v>3.8636363636363633</v>
      </c>
      <c r="H4" s="3">
        <f>100-G4</f>
        <v>96.13636363636364</v>
      </c>
      <c r="I4" s="3">
        <f t="shared" si="1"/>
        <v>24.034090909090907</v>
      </c>
      <c r="J4" s="3">
        <f t="shared" si="2"/>
        <v>10.090909090909092</v>
      </c>
      <c r="K4" s="3">
        <f t="shared" si="3"/>
        <v>14.420454545454545</v>
      </c>
      <c r="L4" s="3">
        <f t="shared" si="4"/>
        <v>19.272727272727273</v>
      </c>
      <c r="M4" s="3">
        <f>SUM(I4:L4)</f>
        <v>67.818181818181813</v>
      </c>
      <c r="N4" s="2" t="str">
        <f>IF(M4&gt;=90,"Sangat Disiplin",IF(M4&gt;=80,"Disiplin",IF(M4&gt;=70,"Cukup","Perlu Pembinaan")))</f>
        <v>Perlu Pembinaan</v>
      </c>
      <c r="P4" s="13">
        <v>68.23</v>
      </c>
    </row>
    <row r="5" spans="1:17" ht="22.5" customHeight="1" x14ac:dyDescent="0.35">
      <c r="A5" s="2" t="s">
        <v>32</v>
      </c>
      <c r="B5" s="3">
        <f>('Input Data'!I5/'Input Data'!H5)*100</f>
        <v>94.670329670329664</v>
      </c>
      <c r="C5" s="3">
        <f>'Input Data'!J5+'Input Data'!K5</f>
        <v>566</v>
      </c>
      <c r="D5" s="3">
        <f>(C5/'Input Data'!H5)*100</f>
        <v>31.098901098901099</v>
      </c>
      <c r="E5" s="3">
        <f>('Input Data'!M5/'Input Data'!H5)*100</f>
        <v>41.703296703296708</v>
      </c>
      <c r="F5" s="3">
        <f t="shared" si="0"/>
        <v>68.901098901098905</v>
      </c>
      <c r="G5" s="3">
        <f>('Input Data'!L5/'Input Data'!H5)*100</f>
        <v>5.3296703296703294</v>
      </c>
      <c r="H5" s="3">
        <f>100-G5</f>
        <v>94.670329670329664</v>
      </c>
      <c r="I5" s="3">
        <f t="shared" si="1"/>
        <v>23.667582417582416</v>
      </c>
      <c r="J5" s="3">
        <f t="shared" si="2"/>
        <v>13.780219780219781</v>
      </c>
      <c r="K5" s="3">
        <f t="shared" si="3"/>
        <v>14.200549450549449</v>
      </c>
      <c r="L5" s="3">
        <f t="shared" si="4"/>
        <v>16.681318681318682</v>
      </c>
      <c r="M5" s="14">
        <f>SUM(I5:L5)</f>
        <v>68.329670329670336</v>
      </c>
      <c r="N5" s="15" t="str">
        <f>IF(M5&gt;=90,"Sangat Disiplin",IF(M5&gt;=80,"Disiplin",IF(M5&gt;=70,"Cukup","Perlu Pembinaan")))</f>
        <v>Perlu Pembinaan</v>
      </c>
      <c r="O5" s="16"/>
      <c r="P5" s="17">
        <v>77.91</v>
      </c>
    </row>
    <row r="6" spans="1:17" ht="22.5" customHeight="1" x14ac:dyDescent="0.35">
      <c r="A6" s="2" t="s">
        <v>33</v>
      </c>
      <c r="B6" s="3">
        <f>('Input Data'!I6/'Input Data'!H6)*100</f>
        <v>96.666666666666671</v>
      </c>
      <c r="C6" s="3">
        <f>'Input Data'!J6+'Input Data'!K6</f>
        <v>99</v>
      </c>
      <c r="D6" s="3">
        <f>(C6/'Input Data'!H6)*100</f>
        <v>23.571428571428569</v>
      </c>
      <c r="E6" s="3">
        <f>('Input Data'!M6/'Input Data'!H6)*100</f>
        <v>74.523809523809518</v>
      </c>
      <c r="F6" s="3">
        <f t="shared" si="0"/>
        <v>76.428571428571431</v>
      </c>
      <c r="G6" s="3">
        <f>('Input Data'!L6/'Input Data'!H6)*100</f>
        <v>3.3333333333333335</v>
      </c>
      <c r="H6" s="3">
        <f t="shared" ref="H6:H27" si="5">100-G6</f>
        <v>96.666666666666671</v>
      </c>
      <c r="I6" s="3">
        <f t="shared" si="1"/>
        <v>24.166666666666668</v>
      </c>
      <c r="J6" s="3">
        <f t="shared" si="2"/>
        <v>15.285714285714286</v>
      </c>
      <c r="K6" s="3">
        <f t="shared" si="3"/>
        <v>14.5</v>
      </c>
      <c r="L6" s="3">
        <f t="shared" si="4"/>
        <v>29.80952380952381</v>
      </c>
      <c r="M6" s="3">
        <f t="shared" ref="M5:M27" si="6">SUM(I6:L6)</f>
        <v>83.761904761904759</v>
      </c>
      <c r="N6" s="2" t="str">
        <f t="shared" ref="N6:N27" si="7">IF(M6&gt;=90,"Sangat Disiplin",IF(M6&gt;=80,"Disiplin",IF(M6&gt;=70,"Cukup","Perlu Pembinaan")))</f>
        <v>Disiplin</v>
      </c>
      <c r="P6" s="13">
        <v>83.77</v>
      </c>
    </row>
    <row r="7" spans="1:17" ht="22.5" customHeight="1" x14ac:dyDescent="0.35">
      <c r="A7" s="2" t="s">
        <v>34</v>
      </c>
      <c r="B7" s="3">
        <f>('Input Data'!I7/'Input Data'!H7)*100</f>
        <v>91.756756756756758</v>
      </c>
      <c r="C7" s="3">
        <f>'Input Data'!J7+'Input Data'!K7</f>
        <v>272</v>
      </c>
      <c r="D7" s="3">
        <f>(C7/'Input Data'!H7)*100</f>
        <v>36.756756756756758</v>
      </c>
      <c r="E7" s="3">
        <f>('Input Data'!M7/'Input Data'!H7)*100</f>
        <v>55.810810810810807</v>
      </c>
      <c r="F7" s="3">
        <f t="shared" si="0"/>
        <v>63.243243243243242</v>
      </c>
      <c r="G7" s="3">
        <f>('Input Data'!L7/'Input Data'!H7)*100</f>
        <v>8.2432432432432439</v>
      </c>
      <c r="H7" s="3">
        <f t="shared" si="5"/>
        <v>91.756756756756758</v>
      </c>
      <c r="I7" s="3">
        <f t="shared" si="1"/>
        <v>22.939189189189189</v>
      </c>
      <c r="J7" s="3">
        <f t="shared" si="2"/>
        <v>12.648648648648649</v>
      </c>
      <c r="K7" s="3">
        <f t="shared" si="3"/>
        <v>13.763513513513514</v>
      </c>
      <c r="L7" s="3">
        <f t="shared" si="4"/>
        <v>22.324324324324323</v>
      </c>
      <c r="M7" s="3">
        <f t="shared" si="6"/>
        <v>71.675675675675677</v>
      </c>
      <c r="N7" s="2" t="str">
        <f t="shared" si="7"/>
        <v>Cukup</v>
      </c>
      <c r="P7" s="13">
        <v>73.459999999999994</v>
      </c>
    </row>
    <row r="8" spans="1:17" ht="22.5" customHeight="1" x14ac:dyDescent="0.35">
      <c r="A8" s="2" t="s">
        <v>35</v>
      </c>
      <c r="B8" s="3">
        <f>('Input Data'!I8/'Input Data'!H8)*100</f>
        <v>95.909090909090907</v>
      </c>
      <c r="C8" s="3">
        <f>'Input Data'!J8+'Input Data'!K8</f>
        <v>571</v>
      </c>
      <c r="D8" s="3">
        <f>(C8/'Input Data'!H8)*100</f>
        <v>43.257575757575758</v>
      </c>
      <c r="E8" s="3">
        <f>('Input Data'!M8/'Input Data'!H8)*100</f>
        <v>36.363636363636367</v>
      </c>
      <c r="F8" s="3">
        <f t="shared" si="0"/>
        <v>56.742424242424242</v>
      </c>
      <c r="G8" s="3">
        <f>('Input Data'!L8/'Input Data'!H8)*100</f>
        <v>4.0909090909090908</v>
      </c>
      <c r="H8" s="3">
        <f t="shared" si="5"/>
        <v>95.909090909090907</v>
      </c>
      <c r="I8" s="3">
        <f t="shared" si="1"/>
        <v>23.977272727272727</v>
      </c>
      <c r="J8" s="3">
        <f t="shared" si="2"/>
        <v>11.34848484848485</v>
      </c>
      <c r="K8" s="3">
        <f t="shared" si="3"/>
        <v>14.386363636363635</v>
      </c>
      <c r="L8" s="3">
        <f t="shared" si="4"/>
        <v>14.545454545454547</v>
      </c>
      <c r="M8" s="14">
        <f t="shared" si="6"/>
        <v>64.257575757575751</v>
      </c>
      <c r="N8" s="15" t="str">
        <f t="shared" si="7"/>
        <v>Perlu Pembinaan</v>
      </c>
      <c r="O8" s="16"/>
      <c r="P8" s="17">
        <v>67.14</v>
      </c>
    </row>
    <row r="9" spans="1:17" ht="22.5" customHeight="1" x14ac:dyDescent="0.35">
      <c r="A9" s="2" t="s">
        <v>36</v>
      </c>
      <c r="B9" s="3">
        <f>('Input Data'!I9/'Input Data'!H9)*100</f>
        <v>95</v>
      </c>
      <c r="C9" s="3">
        <f>'Input Data'!J9+'Input Data'!K9</f>
        <v>237</v>
      </c>
      <c r="D9" s="3">
        <f>(C9/'Input Data'!H9)*100</f>
        <v>43.888888888888886</v>
      </c>
      <c r="E9" s="3">
        <f>('Input Data'!M9/'Input Data'!H9)*100</f>
        <v>53.148148148148145</v>
      </c>
      <c r="F9" s="3">
        <f t="shared" si="0"/>
        <v>56.111111111111114</v>
      </c>
      <c r="G9" s="3">
        <f>('Input Data'!L9/'Input Data'!H9)*100</f>
        <v>5</v>
      </c>
      <c r="H9" s="3">
        <f t="shared" si="5"/>
        <v>95</v>
      </c>
      <c r="I9" s="3">
        <f t="shared" si="1"/>
        <v>23.75</v>
      </c>
      <c r="J9" s="3">
        <f t="shared" si="2"/>
        <v>11.222222222222223</v>
      </c>
      <c r="K9" s="3">
        <f t="shared" si="3"/>
        <v>14.25</v>
      </c>
      <c r="L9" s="3">
        <f t="shared" si="4"/>
        <v>21.25925925925926</v>
      </c>
      <c r="M9" s="3">
        <f t="shared" si="6"/>
        <v>70.481481481481481</v>
      </c>
      <c r="N9" s="2" t="str">
        <f t="shared" si="7"/>
        <v>Cukup</v>
      </c>
      <c r="P9" s="13">
        <v>71.03</v>
      </c>
    </row>
    <row r="10" spans="1:17" ht="22.5" customHeight="1" x14ac:dyDescent="0.35">
      <c r="A10" s="2" t="s">
        <v>37</v>
      </c>
      <c r="B10" s="3">
        <f>('Input Data'!I10/'Input Data'!H10)*100</f>
        <v>94.84375</v>
      </c>
      <c r="C10" s="3">
        <f>'Input Data'!J10+'Input Data'!K10</f>
        <v>425</v>
      </c>
      <c r="D10" s="3">
        <f>(C10/'Input Data'!H10)*100</f>
        <v>66.40625</v>
      </c>
      <c r="E10" s="3">
        <f>('Input Data'!M10/'Input Data'!H10)*100</f>
        <v>31.5625</v>
      </c>
      <c r="F10" s="3">
        <f t="shared" si="0"/>
        <v>33.59375</v>
      </c>
      <c r="G10" s="3">
        <f>('Input Data'!L10/'Input Data'!H10)*100</f>
        <v>5.15625</v>
      </c>
      <c r="H10" s="3">
        <f t="shared" si="5"/>
        <v>94.84375</v>
      </c>
      <c r="I10" s="3">
        <f t="shared" si="1"/>
        <v>23.7109375</v>
      </c>
      <c r="J10" s="3">
        <f t="shared" si="2"/>
        <v>6.71875</v>
      </c>
      <c r="K10" s="3">
        <f t="shared" si="3"/>
        <v>14.2265625</v>
      </c>
      <c r="L10" s="3">
        <f t="shared" si="4"/>
        <v>12.625</v>
      </c>
      <c r="M10" s="3">
        <f t="shared" si="6"/>
        <v>57.28125</v>
      </c>
      <c r="N10" s="2" t="str">
        <f t="shared" si="7"/>
        <v>Perlu Pembinaan</v>
      </c>
      <c r="P10" s="13">
        <v>56.94</v>
      </c>
    </row>
    <row r="11" spans="1:17" ht="22.5" customHeight="1" x14ac:dyDescent="0.35">
      <c r="A11" s="2" t="s">
        <v>38</v>
      </c>
      <c r="B11" s="3">
        <f>('Input Data'!I11/'Input Data'!H11)*100</f>
        <v>90.78125</v>
      </c>
      <c r="C11" s="3">
        <f>'Input Data'!J11+'Input Data'!K11</f>
        <v>220</v>
      </c>
      <c r="D11" s="3">
        <f>(C11/'Input Data'!H11)*100</f>
        <v>34.375</v>
      </c>
      <c r="E11" s="3">
        <f>('Input Data'!M11/'Input Data'!H11)*100</f>
        <v>41.40625</v>
      </c>
      <c r="F11" s="3">
        <f t="shared" si="0"/>
        <v>65.625</v>
      </c>
      <c r="G11" s="3">
        <f>('Input Data'!L11/'Input Data'!H11)*100</f>
        <v>9.21875</v>
      </c>
      <c r="H11" s="3">
        <f t="shared" si="5"/>
        <v>90.78125</v>
      </c>
      <c r="I11" s="3">
        <f t="shared" si="1"/>
        <v>22.6953125</v>
      </c>
      <c r="J11" s="3">
        <f t="shared" si="2"/>
        <v>13.125</v>
      </c>
      <c r="K11" s="3">
        <f t="shared" si="3"/>
        <v>13.6171875</v>
      </c>
      <c r="L11" s="3">
        <f t="shared" si="4"/>
        <v>16.5625</v>
      </c>
      <c r="M11" s="3">
        <f t="shared" si="6"/>
        <v>66</v>
      </c>
      <c r="N11" s="2" t="str">
        <f t="shared" si="7"/>
        <v>Perlu Pembinaan</v>
      </c>
      <c r="P11" s="13">
        <v>68.62</v>
      </c>
    </row>
    <row r="12" spans="1:17" ht="22.5" customHeight="1" x14ac:dyDescent="0.35">
      <c r="A12" s="2" t="s">
        <v>39</v>
      </c>
      <c r="B12" s="3">
        <f>('Input Data'!I12/'Input Data'!H12)*100</f>
        <v>92.272727272727266</v>
      </c>
      <c r="C12" s="3">
        <f>'Input Data'!J12+'Input Data'!K12</f>
        <v>40</v>
      </c>
      <c r="D12" s="3">
        <f>(C12/'Input Data'!H12)*100</f>
        <v>18.181818181818183</v>
      </c>
      <c r="E12" s="3">
        <f>('Input Data'!M12/'Input Data'!H12)*100</f>
        <v>76.363636363636374</v>
      </c>
      <c r="F12" s="3">
        <f t="shared" si="0"/>
        <v>81.818181818181813</v>
      </c>
      <c r="G12" s="3">
        <f>('Input Data'!L12/'Input Data'!H12)*100</f>
        <v>7.7272727272727266</v>
      </c>
      <c r="H12" s="3">
        <f t="shared" si="5"/>
        <v>92.27272727272728</v>
      </c>
      <c r="I12" s="3">
        <f t="shared" si="1"/>
        <v>23.068181818181817</v>
      </c>
      <c r="J12" s="3">
        <f t="shared" si="2"/>
        <v>16.363636363636363</v>
      </c>
      <c r="K12" s="3">
        <f t="shared" si="3"/>
        <v>13.840909090909092</v>
      </c>
      <c r="L12" s="3">
        <f t="shared" si="4"/>
        <v>30.54545454545455</v>
      </c>
      <c r="M12" s="3">
        <f t="shared" si="6"/>
        <v>83.818181818181827</v>
      </c>
      <c r="N12" s="2" t="str">
        <f t="shared" si="7"/>
        <v>Disiplin</v>
      </c>
      <c r="P12" s="13">
        <v>83.81</v>
      </c>
    </row>
    <row r="13" spans="1:17" ht="22.5" customHeight="1" x14ac:dyDescent="0.35">
      <c r="A13" s="2" t="s">
        <v>40</v>
      </c>
      <c r="B13" s="3">
        <f>('Input Data'!I13/'Input Data'!H13)*100</f>
        <v>89</v>
      </c>
      <c r="C13" s="3">
        <f>'Input Data'!J13+'Input Data'!K13</f>
        <v>177</v>
      </c>
      <c r="D13" s="3">
        <f>(C13/'Input Data'!H13)*100</f>
        <v>44.25</v>
      </c>
      <c r="E13" s="3">
        <f>('Input Data'!M13/'Input Data'!H13)*100</f>
        <v>48.5</v>
      </c>
      <c r="F13" s="3">
        <f t="shared" si="0"/>
        <v>55.75</v>
      </c>
      <c r="G13" s="3">
        <f>('Input Data'!L13/'Input Data'!H13)*100</f>
        <v>11</v>
      </c>
      <c r="H13" s="3">
        <f t="shared" si="5"/>
        <v>89</v>
      </c>
      <c r="I13" s="3">
        <f t="shared" si="1"/>
        <v>22.25</v>
      </c>
      <c r="J13" s="3">
        <f t="shared" si="2"/>
        <v>11.15</v>
      </c>
      <c r="K13" s="3">
        <f t="shared" si="3"/>
        <v>13.35</v>
      </c>
      <c r="L13" s="3">
        <f t="shared" si="4"/>
        <v>19.400000000000002</v>
      </c>
      <c r="M13" s="3">
        <f t="shared" si="6"/>
        <v>66.150000000000006</v>
      </c>
      <c r="N13" s="2" t="str">
        <f t="shared" si="7"/>
        <v>Perlu Pembinaan</v>
      </c>
      <c r="P13" s="13">
        <v>66.150000000000006</v>
      </c>
    </row>
    <row r="14" spans="1:17" ht="22.5" customHeight="1" x14ac:dyDescent="0.35">
      <c r="A14" s="2" t="s">
        <v>41</v>
      </c>
      <c r="B14" s="3">
        <f>('Input Data'!I14/'Input Data'!H14)*100</f>
        <v>99.107142857142861</v>
      </c>
      <c r="C14" s="3">
        <f>'Input Data'!J14+'Input Data'!K14</f>
        <v>198</v>
      </c>
      <c r="D14" s="3">
        <f>(C14/'Input Data'!H14)*100</f>
        <v>11.785714285714285</v>
      </c>
      <c r="E14" s="3">
        <f>('Input Data'!M14/'Input Data'!H14)*100</f>
        <v>87.916666666666671</v>
      </c>
      <c r="F14" s="3">
        <f t="shared" si="0"/>
        <v>88.214285714285722</v>
      </c>
      <c r="G14" s="3">
        <f>('Input Data'!L14/'Input Data'!H14)*100</f>
        <v>0.89285714285714279</v>
      </c>
      <c r="H14" s="3">
        <f t="shared" si="5"/>
        <v>99.107142857142861</v>
      </c>
      <c r="I14" s="3">
        <f t="shared" si="1"/>
        <v>24.776785714285715</v>
      </c>
      <c r="J14" s="3">
        <f t="shared" si="2"/>
        <v>17.642857142857146</v>
      </c>
      <c r="K14" s="3">
        <f t="shared" si="3"/>
        <v>14.866071428571429</v>
      </c>
      <c r="L14" s="3">
        <f t="shared" si="4"/>
        <v>35.166666666666671</v>
      </c>
      <c r="M14" s="3">
        <f t="shared" si="6"/>
        <v>92.452380952380963</v>
      </c>
      <c r="N14" s="2" t="str">
        <f t="shared" si="7"/>
        <v>Sangat Disiplin</v>
      </c>
      <c r="P14" s="12">
        <v>92.69</v>
      </c>
      <c r="Q14" s="8"/>
    </row>
    <row r="15" spans="1:17" ht="22.5" customHeight="1" x14ac:dyDescent="0.35">
      <c r="A15" s="2" t="s">
        <v>42</v>
      </c>
      <c r="B15" s="3">
        <f>('Input Data'!I15/'Input Data'!H15)*100</f>
        <v>86.142857142857139</v>
      </c>
      <c r="C15" s="3">
        <f>'Input Data'!J15+'Input Data'!K15</f>
        <v>298</v>
      </c>
      <c r="D15" s="3">
        <f>(C15/'Input Data'!H15)*100</f>
        <v>42.571428571428569</v>
      </c>
      <c r="E15" s="3">
        <f>('Input Data'!M15/'Input Data'!H15)*100</f>
        <v>50</v>
      </c>
      <c r="F15" s="3">
        <f t="shared" si="0"/>
        <v>57.428571428571431</v>
      </c>
      <c r="G15" s="3">
        <f>('Input Data'!L15/'Input Data'!H15)*100</f>
        <v>13.857142857142858</v>
      </c>
      <c r="H15" s="3">
        <f t="shared" si="5"/>
        <v>86.142857142857139</v>
      </c>
      <c r="I15" s="3">
        <f t="shared" si="1"/>
        <v>21.535714285714285</v>
      </c>
      <c r="J15" s="3">
        <f t="shared" si="2"/>
        <v>11.485714285714288</v>
      </c>
      <c r="K15" s="3">
        <f t="shared" si="3"/>
        <v>12.921428571428571</v>
      </c>
      <c r="L15" s="3">
        <f t="shared" si="4"/>
        <v>20</v>
      </c>
      <c r="M15" s="3">
        <f t="shared" si="6"/>
        <v>65.94285714285715</v>
      </c>
      <c r="N15" s="2" t="str">
        <f t="shared" si="7"/>
        <v>Perlu Pembinaan</v>
      </c>
      <c r="P15" s="13">
        <v>65.95</v>
      </c>
    </row>
    <row r="16" spans="1:17" ht="22.5" customHeight="1" x14ac:dyDescent="0.35">
      <c r="A16" s="2" t="s">
        <v>43</v>
      </c>
      <c r="B16" s="3">
        <f>('Input Data'!I16/'Input Data'!H16)*100</f>
        <v>88.75</v>
      </c>
      <c r="C16" s="3">
        <f>'Input Data'!J16+'Input Data'!K16</f>
        <v>711</v>
      </c>
      <c r="D16" s="3">
        <f>(C16/'Input Data'!H16)*100</f>
        <v>46.776315789473685</v>
      </c>
      <c r="E16" s="3">
        <f>('Input Data'!M16/'Input Data'!H16)*100</f>
        <v>23.94736842105263</v>
      </c>
      <c r="F16" s="3">
        <f t="shared" si="0"/>
        <v>53.223684210526315</v>
      </c>
      <c r="G16" s="3">
        <f>('Input Data'!L16/'Input Data'!H16)*100</f>
        <v>11.25</v>
      </c>
      <c r="H16" s="3">
        <f t="shared" si="5"/>
        <v>88.75</v>
      </c>
      <c r="I16" s="3">
        <f t="shared" si="1"/>
        <v>22.1875</v>
      </c>
      <c r="J16" s="3">
        <f t="shared" si="2"/>
        <v>10.644736842105264</v>
      </c>
      <c r="K16" s="3">
        <f t="shared" si="3"/>
        <v>13.3125</v>
      </c>
      <c r="L16" s="3">
        <f t="shared" si="4"/>
        <v>9.5789473684210531</v>
      </c>
      <c r="M16" s="14">
        <f t="shared" si="6"/>
        <v>55.723684210526315</v>
      </c>
      <c r="N16" s="15" t="str">
        <f t="shared" si="7"/>
        <v>Perlu Pembinaan</v>
      </c>
      <c r="O16" s="16"/>
      <c r="P16" s="17">
        <v>65.849999999999994</v>
      </c>
    </row>
    <row r="17" spans="1:17" ht="22.5" customHeight="1" x14ac:dyDescent="0.35">
      <c r="A17" s="2" t="s">
        <v>44</v>
      </c>
      <c r="B17" s="3">
        <f>('Input Data'!I17/'Input Data'!H17)*100</f>
        <v>86.666666666666671</v>
      </c>
      <c r="C17" s="3">
        <f>'Input Data'!J17+'Input Data'!K17</f>
        <v>175</v>
      </c>
      <c r="D17" s="3">
        <f>(C17/'Input Data'!H17)*100</f>
        <v>41.666666666666671</v>
      </c>
      <c r="E17" s="3">
        <f>('Input Data'!M17/'Input Data'!H17)*100</f>
        <v>46.904761904761905</v>
      </c>
      <c r="F17" s="3">
        <f t="shared" si="0"/>
        <v>58.333333333333329</v>
      </c>
      <c r="G17" s="3">
        <f>('Input Data'!L17/'Input Data'!H17)*100</f>
        <v>13.333333333333334</v>
      </c>
      <c r="H17" s="3">
        <f t="shared" si="5"/>
        <v>86.666666666666671</v>
      </c>
      <c r="I17" s="3">
        <f t="shared" si="1"/>
        <v>21.666666666666668</v>
      </c>
      <c r="J17" s="3">
        <f t="shared" si="2"/>
        <v>11.666666666666666</v>
      </c>
      <c r="K17" s="3">
        <f t="shared" si="3"/>
        <v>13</v>
      </c>
      <c r="L17" s="3">
        <f t="shared" si="4"/>
        <v>18.761904761904763</v>
      </c>
      <c r="M17" s="3">
        <f t="shared" si="6"/>
        <v>65.095238095238102</v>
      </c>
      <c r="N17" s="2" t="str">
        <f t="shared" si="7"/>
        <v>Perlu Pembinaan</v>
      </c>
      <c r="P17" s="13">
        <v>66</v>
      </c>
    </row>
    <row r="18" spans="1:17" ht="22.5" customHeight="1" x14ac:dyDescent="0.35">
      <c r="A18" s="2" t="s">
        <v>45</v>
      </c>
      <c r="B18" s="3">
        <f>('Input Data'!I18/'Input Data'!H18)*100</f>
        <v>96.666666666666671</v>
      </c>
      <c r="C18" s="3">
        <f>'Input Data'!J18+'Input Data'!K18</f>
        <v>235</v>
      </c>
      <c r="D18" s="3">
        <f>(C18/'Input Data'!H18)*100</f>
        <v>27.976190476190478</v>
      </c>
      <c r="E18" s="3">
        <f>('Input Data'!M18/'Input Data'!H18)*100</f>
        <v>60.833333333333329</v>
      </c>
      <c r="F18" s="3">
        <f t="shared" si="0"/>
        <v>72.023809523809518</v>
      </c>
      <c r="G18" s="3">
        <f>('Input Data'!L18/'Input Data'!H18)*100</f>
        <v>3.3333333333333335</v>
      </c>
      <c r="H18" s="3">
        <f t="shared" si="5"/>
        <v>96.666666666666671</v>
      </c>
      <c r="I18" s="3">
        <f t="shared" si="1"/>
        <v>24.166666666666668</v>
      </c>
      <c r="J18" s="3">
        <f t="shared" si="2"/>
        <v>14.404761904761905</v>
      </c>
      <c r="K18" s="3">
        <f t="shared" si="3"/>
        <v>14.5</v>
      </c>
      <c r="L18" s="3">
        <f t="shared" si="4"/>
        <v>24.333333333333332</v>
      </c>
      <c r="M18" s="14">
        <f t="shared" si="6"/>
        <v>77.404761904761898</v>
      </c>
      <c r="N18" s="15" t="str">
        <f t="shared" si="7"/>
        <v>Cukup</v>
      </c>
      <c r="O18" s="16"/>
      <c r="P18" s="17">
        <v>81.349999999999994</v>
      </c>
    </row>
    <row r="19" spans="1:17" ht="22.5" customHeight="1" x14ac:dyDescent="0.35">
      <c r="A19" s="2" t="s">
        <v>46</v>
      </c>
      <c r="B19" s="3">
        <f>('Input Data'!I19/'Input Data'!H19)*100</f>
        <v>81.911764705882348</v>
      </c>
      <c r="C19" s="3">
        <f>'Input Data'!J19+'Input Data'!K19</f>
        <v>548</v>
      </c>
      <c r="D19" s="3">
        <f>(C19/'Input Data'!H19)*100</f>
        <v>40.294117647058826</v>
      </c>
      <c r="E19" s="3">
        <f>('Input Data'!M19/'Input Data'!H19)*100</f>
        <v>27.500000000000004</v>
      </c>
      <c r="F19" s="3">
        <f t="shared" si="0"/>
        <v>59.705882352941174</v>
      </c>
      <c r="G19" s="3">
        <f>('Input Data'!L19/'Input Data'!H19)*100</f>
        <v>18.088235294117645</v>
      </c>
      <c r="H19" s="3">
        <f t="shared" si="5"/>
        <v>81.911764705882348</v>
      </c>
      <c r="I19" s="3">
        <f t="shared" si="1"/>
        <v>20.477941176470587</v>
      </c>
      <c r="J19" s="3">
        <f t="shared" si="2"/>
        <v>11.941176470588236</v>
      </c>
      <c r="K19" s="3">
        <f t="shared" si="3"/>
        <v>12.286764705882351</v>
      </c>
      <c r="L19" s="3">
        <f t="shared" si="4"/>
        <v>11.000000000000002</v>
      </c>
      <c r="M19" s="14">
        <f t="shared" si="6"/>
        <v>55.705882352941174</v>
      </c>
      <c r="N19" s="15" t="str">
        <f t="shared" si="7"/>
        <v>Perlu Pembinaan</v>
      </c>
      <c r="O19" s="16"/>
      <c r="P19" s="17">
        <v>62.62</v>
      </c>
    </row>
    <row r="20" spans="1:17" ht="22.5" customHeight="1" x14ac:dyDescent="0.35">
      <c r="A20" s="2" t="s">
        <v>47</v>
      </c>
      <c r="B20" s="3">
        <f>('Input Data'!I20/'Input Data'!H20)*100</f>
        <v>87.333333333333329</v>
      </c>
      <c r="C20" s="3">
        <f>'Input Data'!J20+'Input Data'!K20</f>
        <v>403</v>
      </c>
      <c r="D20" s="3">
        <f>(C20/'Input Data'!H20)*100</f>
        <v>44.777777777777779</v>
      </c>
      <c r="E20" s="3">
        <f>('Input Data'!M20/'Input Data'!H20)*100</f>
        <v>39.777777777777779</v>
      </c>
      <c r="F20" s="3">
        <f t="shared" si="0"/>
        <v>55.222222222222221</v>
      </c>
      <c r="G20" s="3">
        <f>('Input Data'!L20/'Input Data'!H20)*100</f>
        <v>12.666666666666668</v>
      </c>
      <c r="H20" s="3">
        <f t="shared" si="5"/>
        <v>87.333333333333329</v>
      </c>
      <c r="I20" s="3">
        <f t="shared" si="1"/>
        <v>21.833333333333332</v>
      </c>
      <c r="J20" s="3">
        <f t="shared" si="2"/>
        <v>11.044444444444444</v>
      </c>
      <c r="K20" s="3">
        <f t="shared" si="3"/>
        <v>13.1</v>
      </c>
      <c r="L20" s="3">
        <f t="shared" si="4"/>
        <v>15.911111111111111</v>
      </c>
      <c r="M20" s="14">
        <f t="shared" si="6"/>
        <v>61.888888888888893</v>
      </c>
      <c r="N20" s="15" t="str">
        <f t="shared" si="7"/>
        <v>Perlu Pembinaan</v>
      </c>
      <c r="O20" s="16"/>
      <c r="P20" s="17">
        <v>65.48</v>
      </c>
    </row>
    <row r="21" spans="1:17" ht="22.5" customHeight="1" x14ac:dyDescent="0.35">
      <c r="A21" s="2" t="s">
        <v>48</v>
      </c>
      <c r="B21" s="3">
        <f>('Input Data'!I21/'Input Data'!H21)*100</f>
        <v>94.117647058823522</v>
      </c>
      <c r="C21" s="3">
        <f>'Input Data'!J21+'Input Data'!K21</f>
        <v>116</v>
      </c>
      <c r="D21" s="3">
        <f>(C21/'Input Data'!H21)*100</f>
        <v>34.117647058823529</v>
      </c>
      <c r="E21" s="3">
        <f>('Input Data'!M21/'Input Data'!H21)*100</f>
        <v>62.352941176470587</v>
      </c>
      <c r="F21" s="3">
        <f t="shared" si="0"/>
        <v>65.882352941176464</v>
      </c>
      <c r="G21" s="3">
        <f>('Input Data'!L21/'Input Data'!H21)*100</f>
        <v>5.8823529411764701</v>
      </c>
      <c r="H21" s="3">
        <f t="shared" si="5"/>
        <v>94.117647058823536</v>
      </c>
      <c r="I21" s="3">
        <f t="shared" si="1"/>
        <v>23.52941176470588</v>
      </c>
      <c r="J21" s="3">
        <f t="shared" si="2"/>
        <v>13.176470588235293</v>
      </c>
      <c r="K21" s="3">
        <f t="shared" si="3"/>
        <v>14.117647058823531</v>
      </c>
      <c r="L21" s="3">
        <f t="shared" si="4"/>
        <v>24.941176470588236</v>
      </c>
      <c r="M21" s="3">
        <f t="shared" si="6"/>
        <v>75.764705882352942</v>
      </c>
      <c r="N21" s="2" t="str">
        <f t="shared" si="7"/>
        <v>Cukup</v>
      </c>
      <c r="P21" s="13">
        <v>75.77</v>
      </c>
    </row>
    <row r="22" spans="1:17" ht="22.5" customHeight="1" x14ac:dyDescent="0.35">
      <c r="A22" s="2" t="s">
        <v>49</v>
      </c>
      <c r="B22" s="3">
        <f>('Input Data'!I22/'Input Data'!H22)*100</f>
        <v>91.206896551724142</v>
      </c>
      <c r="C22" s="3">
        <f>'Input Data'!J22+'Input Data'!K22</f>
        <v>473</v>
      </c>
      <c r="D22" s="3">
        <f>(C22/'Input Data'!H22)*100</f>
        <v>40.775862068965516</v>
      </c>
      <c r="E22" s="3">
        <f>('Input Data'!M22/'Input Data'!H22)*100</f>
        <v>33.189655172413794</v>
      </c>
      <c r="F22" s="3">
        <f t="shared" si="0"/>
        <v>59.224137931034484</v>
      </c>
      <c r="G22" s="3">
        <f>('Input Data'!L22/'Input Data'!H22)*100</f>
        <v>8.7931034482758612</v>
      </c>
      <c r="H22" s="3">
        <f t="shared" si="5"/>
        <v>91.206896551724142</v>
      </c>
      <c r="I22" s="3">
        <f t="shared" si="1"/>
        <v>22.801724137931036</v>
      </c>
      <c r="J22" s="3">
        <f t="shared" si="2"/>
        <v>11.844827586206897</v>
      </c>
      <c r="K22" s="3">
        <f t="shared" si="3"/>
        <v>13.681034482758621</v>
      </c>
      <c r="L22" s="3">
        <f t="shared" si="4"/>
        <v>13.275862068965518</v>
      </c>
      <c r="M22" s="14">
        <f t="shared" si="6"/>
        <v>61.603448275862071</v>
      </c>
      <c r="N22" s="15" t="str">
        <f t="shared" si="7"/>
        <v>Perlu Pembinaan</v>
      </c>
      <c r="O22" s="16"/>
      <c r="P22" s="17">
        <v>70.290000000000006</v>
      </c>
    </row>
    <row r="23" spans="1:17" ht="22.5" customHeight="1" x14ac:dyDescent="0.35">
      <c r="A23" s="2" t="s">
        <v>50</v>
      </c>
      <c r="B23" s="3">
        <f>('Input Data'!I23/'Input Data'!H23)*100</f>
        <v>95.652173913043484</v>
      </c>
      <c r="C23" s="3">
        <f>'Input Data'!J23+'Input Data'!K23</f>
        <v>106</v>
      </c>
      <c r="D23" s="3">
        <f>(C23/'Input Data'!H23)*100</f>
        <v>23.043478260869566</v>
      </c>
      <c r="E23" s="3">
        <f>('Input Data'!M23/'Input Data'!H23)*100</f>
        <v>73.91304347826086</v>
      </c>
      <c r="F23" s="3">
        <f t="shared" si="0"/>
        <v>76.956521739130437</v>
      </c>
      <c r="G23" s="3">
        <f>('Input Data'!L23/'Input Data'!H23)*100</f>
        <v>4.3478260869565215</v>
      </c>
      <c r="H23" s="3">
        <f t="shared" si="5"/>
        <v>95.652173913043484</v>
      </c>
      <c r="I23" s="3">
        <f t="shared" si="1"/>
        <v>23.913043478260871</v>
      </c>
      <c r="J23" s="3">
        <f t="shared" si="2"/>
        <v>15.391304347826088</v>
      </c>
      <c r="K23" s="3">
        <f t="shared" si="3"/>
        <v>14.347826086956522</v>
      </c>
      <c r="L23" s="3">
        <f t="shared" si="4"/>
        <v>29.565217391304344</v>
      </c>
      <c r="M23" s="3">
        <f t="shared" si="6"/>
        <v>83.217391304347828</v>
      </c>
      <c r="N23" s="2" t="str">
        <f t="shared" si="7"/>
        <v>Disiplin</v>
      </c>
      <c r="P23" s="13">
        <v>83.21</v>
      </c>
    </row>
    <row r="24" spans="1:17" ht="22.5" customHeight="1" x14ac:dyDescent="0.35">
      <c r="A24" s="2" t="s">
        <v>10</v>
      </c>
      <c r="B24" s="3">
        <f>('Input Data'!I24/'Input Data'!H24)*100</f>
        <v>97.878787878787875</v>
      </c>
      <c r="C24" s="3">
        <f>'Input Data'!J24+'Input Data'!K24</f>
        <v>19</v>
      </c>
      <c r="D24" s="3">
        <f>(C24/'Input Data'!H24)*100</f>
        <v>1.4393939393939394</v>
      </c>
      <c r="E24" s="3">
        <f>('Input Data'!M24/'Input Data'!H24)*100</f>
        <v>95.606060606060609</v>
      </c>
      <c r="F24" s="3">
        <f t="shared" si="0"/>
        <v>98.560606060606062</v>
      </c>
      <c r="G24" s="3">
        <f>('Input Data'!L24/'Input Data'!H24)*100</f>
        <v>2.1212121212121215</v>
      </c>
      <c r="H24" s="3">
        <f t="shared" si="5"/>
        <v>97.878787878787875</v>
      </c>
      <c r="I24" s="3">
        <f t="shared" si="1"/>
        <v>24.469696969696969</v>
      </c>
      <c r="J24" s="3">
        <f t="shared" si="2"/>
        <v>19.712121212121215</v>
      </c>
      <c r="K24" s="3">
        <f t="shared" si="3"/>
        <v>14.68181818181818</v>
      </c>
      <c r="L24" s="3">
        <f t="shared" si="4"/>
        <v>38.242424242424242</v>
      </c>
      <c r="M24" s="3">
        <f t="shared" si="6"/>
        <v>97.106060606060609</v>
      </c>
      <c r="N24" s="2" t="str">
        <f t="shared" si="7"/>
        <v>Sangat Disiplin</v>
      </c>
      <c r="P24" s="13">
        <v>97.13</v>
      </c>
    </row>
    <row r="25" spans="1:17" ht="22.5" customHeight="1" x14ac:dyDescent="0.35">
      <c r="A25" s="2" t="s">
        <v>51</v>
      </c>
      <c r="B25" s="3">
        <f>('Input Data'!I25/'Input Data'!H25)*100</f>
        <v>91.386138613861391</v>
      </c>
      <c r="C25" s="3">
        <f>'Input Data'!J25+'Input Data'!K25</f>
        <v>800</v>
      </c>
      <c r="D25" s="3">
        <f>(C25/'Input Data'!H25)*100</f>
        <v>39.603960396039604</v>
      </c>
      <c r="E25" s="3">
        <f>('Input Data'!M25/'Input Data'!H25)*100</f>
        <v>35.495049504950494</v>
      </c>
      <c r="F25" s="3">
        <f t="shared" si="0"/>
        <v>60.396039603960396</v>
      </c>
      <c r="G25" s="3">
        <f>('Input Data'!L25/'Input Data'!H25)*100</f>
        <v>8.6138613861386126</v>
      </c>
      <c r="H25" s="3">
        <f t="shared" si="5"/>
        <v>91.386138613861391</v>
      </c>
      <c r="I25" s="3">
        <f t="shared" si="1"/>
        <v>22.846534653465348</v>
      </c>
      <c r="J25" s="3">
        <f t="shared" si="2"/>
        <v>12.079207920792079</v>
      </c>
      <c r="K25" s="3">
        <f t="shared" si="3"/>
        <v>13.707920792079209</v>
      </c>
      <c r="L25" s="3">
        <f t="shared" si="4"/>
        <v>14.198019801980198</v>
      </c>
      <c r="M25" s="14">
        <f t="shared" si="6"/>
        <v>62.831683168316829</v>
      </c>
      <c r="N25" s="15" t="str">
        <f t="shared" si="7"/>
        <v>Perlu Pembinaan</v>
      </c>
      <c r="O25" s="16"/>
      <c r="P25" s="18">
        <v>70.92</v>
      </c>
      <c r="Q25" s="8"/>
    </row>
    <row r="26" spans="1:17" ht="22.5" customHeight="1" x14ac:dyDescent="0.35">
      <c r="A26" s="2" t="s">
        <v>52</v>
      </c>
      <c r="B26" s="3">
        <f>('Input Data'!I26/'Input Data'!H26)*100</f>
        <v>77.142857142857153</v>
      </c>
      <c r="C26" s="3">
        <f>'Input Data'!J26+'Input Data'!K26</f>
        <v>417</v>
      </c>
      <c r="D26" s="3">
        <f>(C26/'Input Data'!H26)*100</f>
        <v>49.642857142857146</v>
      </c>
      <c r="E26" s="3">
        <f>('Input Data'!M26/'Input Data'!H26)*100</f>
        <v>29.285714285714288</v>
      </c>
      <c r="F26" s="3">
        <f t="shared" si="0"/>
        <v>50.357142857142854</v>
      </c>
      <c r="G26" s="3">
        <f>('Input Data'!L26/'Input Data'!H26)*100</f>
        <v>22.857142857142858</v>
      </c>
      <c r="H26" s="3">
        <f t="shared" si="5"/>
        <v>77.142857142857139</v>
      </c>
      <c r="I26" s="3">
        <f t="shared" si="1"/>
        <v>19.285714285714288</v>
      </c>
      <c r="J26" s="3">
        <f t="shared" si="2"/>
        <v>10.071428571428571</v>
      </c>
      <c r="K26" s="3">
        <f t="shared" si="3"/>
        <v>11.571428571428571</v>
      </c>
      <c r="L26" s="3">
        <f t="shared" si="4"/>
        <v>11.714285714285715</v>
      </c>
      <c r="M26" s="3">
        <f t="shared" si="6"/>
        <v>52.642857142857146</v>
      </c>
      <c r="N26" s="2" t="str">
        <f t="shared" si="7"/>
        <v>Perlu Pembinaan</v>
      </c>
      <c r="P26" s="12">
        <v>53.5</v>
      </c>
      <c r="Q26" s="8"/>
    </row>
    <row r="27" spans="1:17" ht="22.5" customHeight="1" x14ac:dyDescent="0.35">
      <c r="A27" s="2" t="s">
        <v>53</v>
      </c>
      <c r="B27" s="3">
        <f>('Input Data'!I27/'Input Data'!H27)*100</f>
        <v>84.933774834437088</v>
      </c>
      <c r="C27" s="3">
        <f>'Input Data'!J27+'Input Data'!K27</f>
        <v>918</v>
      </c>
      <c r="D27" s="3">
        <f>(C27/'Input Data'!H27)*100</f>
        <v>30.397350993377479</v>
      </c>
      <c r="E27" s="3">
        <f>('Input Data'!M27/'Input Data'!H27)*100</f>
        <v>19.403973509933774</v>
      </c>
      <c r="F27" s="3">
        <f t="shared" si="0"/>
        <v>69.602649006622528</v>
      </c>
      <c r="G27" s="3">
        <f>('Input Data'!L27/'Input Data'!H27)*100</f>
        <v>15.066225165562914</v>
      </c>
      <c r="H27" s="3">
        <f t="shared" si="5"/>
        <v>84.933774834437088</v>
      </c>
      <c r="I27" s="3">
        <f t="shared" si="1"/>
        <v>21.233443708609272</v>
      </c>
      <c r="J27" s="3">
        <f t="shared" si="2"/>
        <v>13.920529801324506</v>
      </c>
      <c r="K27" s="3">
        <f t="shared" si="3"/>
        <v>12.740066225165563</v>
      </c>
      <c r="L27" s="3">
        <f t="shared" si="4"/>
        <v>7.7615894039735096</v>
      </c>
      <c r="M27" s="14">
        <f t="shared" si="6"/>
        <v>55.65562913907285</v>
      </c>
      <c r="N27" s="15" t="str">
        <f t="shared" si="7"/>
        <v>Perlu Pembinaan</v>
      </c>
      <c r="O27" s="16"/>
      <c r="P27" s="17">
        <v>70.900000000000006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3"/>
  <sheetViews>
    <sheetView workbookViewId="0">
      <selection activeCell="B16" sqref="B16"/>
    </sheetView>
  </sheetViews>
  <sheetFormatPr defaultRowHeight="14.5" x14ac:dyDescent="0.35"/>
  <sheetData>
    <row r="1" spans="1:1" x14ac:dyDescent="0.35">
      <c r="A1" s="1" t="s">
        <v>19</v>
      </c>
    </row>
    <row r="3" spans="1:1" x14ac:dyDescent="0.35">
      <c r="A3" t="s">
        <v>20</v>
      </c>
    </row>
    <row r="4" spans="1:1" x14ac:dyDescent="0.35">
      <c r="A4" t="s">
        <v>21</v>
      </c>
    </row>
    <row r="5" spans="1:1" x14ac:dyDescent="0.35">
      <c r="A5" t="s">
        <v>22</v>
      </c>
    </row>
    <row r="7" spans="1:1" x14ac:dyDescent="0.35">
      <c r="A7" t="s">
        <v>23</v>
      </c>
    </row>
    <row r="8" spans="1:1" x14ac:dyDescent="0.35">
      <c r="A8" t="s">
        <v>24</v>
      </c>
    </row>
    <row r="9" spans="1:1" x14ac:dyDescent="0.35">
      <c r="A9" t="s">
        <v>54</v>
      </c>
    </row>
    <row r="10" spans="1:1" x14ac:dyDescent="0.35">
      <c r="A10" t="s">
        <v>55</v>
      </c>
    </row>
    <row r="12" spans="1:1" x14ac:dyDescent="0.35">
      <c r="A12" t="s">
        <v>25</v>
      </c>
    </row>
    <row r="13" spans="1:1" x14ac:dyDescent="0.35">
      <c r="A13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 Data</vt:lpstr>
      <vt:lpstr>Perhitungan</vt:lpstr>
      <vt:lpstr>Petunjuk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Stien Liku Medea</cp:lastModifiedBy>
  <dcterms:created xsi:type="dcterms:W3CDTF">2026-05-22T05:45:24Z</dcterms:created>
  <dcterms:modified xsi:type="dcterms:W3CDTF">2026-07-24T15:28:39Z</dcterms:modified>
</cp:coreProperties>
</file>