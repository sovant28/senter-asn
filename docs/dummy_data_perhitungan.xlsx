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8_{975454D6-88D0-7540-AE60-4BA8BBB8AF40}" xr6:coauthVersionLast="47" xr6:coauthVersionMax="47" xr10:uidLastSave="{00000000-0000-0000-0000-000000000000}"/>
  <bookViews>
    <workbookView xWindow="0" yWindow="660" windowWidth="25260" windowHeight="10180" xr2:uid="{00000000-000D-0000-FFFF-FFFF00000000}"/>
  </bookViews>
  <sheets>
    <sheet name="Input Data" sheetId="1" r:id="rId1"/>
    <sheet name="Perhitungan" sheetId="2" r:id="rId2"/>
    <sheet name="Petunjuk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F2" i="1"/>
  <c r="H2" i="1" s="1"/>
  <c r="E2" i="2" s="1"/>
  <c r="L2" i="2" s="1"/>
  <c r="C2" i="2"/>
  <c r="B2" i="2" l="1"/>
  <c r="I2" i="2" s="1"/>
  <c r="D2" i="2"/>
  <c r="F2" i="2" s="1"/>
  <c r="J2" i="2" s="1"/>
  <c r="G2" i="2"/>
  <c r="H2" i="2" s="1"/>
  <c r="K2" i="2" s="1"/>
  <c r="M2" i="2" l="1"/>
  <c r="N2" i="2" s="1"/>
</calcChain>
</file>

<file path=xl/sharedStrings.xml><?xml version="1.0" encoding="utf-8"?>
<sst xmlns="http://schemas.openxmlformats.org/spreadsheetml/2006/main" count="39" uniqueCount="37">
  <si>
    <t>No</t>
  </si>
  <si>
    <t>Nama OPD</t>
  </si>
  <si>
    <t>Jumlah ASN</t>
  </si>
  <si>
    <t>Hari Kerja</t>
  </si>
  <si>
    <t>Total Kewajiban Hadir</t>
  </si>
  <si>
    <t>Jumlah Hadir</t>
  </si>
  <si>
    <t>Jumlah Terlambat</t>
  </si>
  <si>
    <t>Jumlah Pulang Cepat</t>
  </si>
  <si>
    <t>Jumlah Tidak Hadir</t>
  </si>
  <si>
    <t>Persentase Kehadiran</t>
  </si>
  <si>
    <t>Total Pelanggaran Jam Kerja</t>
  </si>
  <si>
    <t>Persentase Pelanggaran Jam Kerja</t>
  </si>
  <si>
    <t>Nilai Kepatuhan Jam Kerja</t>
  </si>
  <si>
    <t>Persentase Ketidakhadiran</t>
  </si>
  <si>
    <t>Nilai Ketidakhadiran</t>
  </si>
  <si>
    <t>Total Skor</t>
  </si>
  <si>
    <t>Kategori</t>
  </si>
  <si>
    <t>PETUNJUK PENGGUNAAN TEMPLATE DISIPLIN OPD</t>
  </si>
  <si>
    <t>1. Isi data pada sheet 'Input Data'.</t>
  </si>
  <si>
    <t>2. Masukkan jumlah ASN, hari kerja, jumlah hadir, keterlambatan, pulang cepat, dan tidak hadir.</t>
  </si>
  <si>
    <t>3. Sistem otomatis menghitung seluruh skor disiplin.</t>
  </si>
  <si>
    <t>BOBOT PENILAIAN:</t>
  </si>
  <si>
    <t>- Kehadiran = 60%</t>
  </si>
  <si>
    <t>Kepatuhan Jam Kerja dihitung dari:</t>
  </si>
  <si>
    <t>Jumlah Terlambat + Jumlah Pulang Cepat</t>
  </si>
  <si>
    <t>PNS</t>
  </si>
  <si>
    <t>PPPK</t>
  </si>
  <si>
    <t>PPPK PW</t>
  </si>
  <si>
    <t xml:space="preserve"> - Kepatuhan Jam Kerja = 20%</t>
  </si>
  <si>
    <t xml:space="preserve"> - Ketidakhadiran = 20%</t>
  </si>
  <si>
    <t>Jumlah Hadir Normal</t>
  </si>
  <si>
    <t>Persentase Kehadiran Efektif</t>
  </si>
  <si>
    <t>Skor Ketidakhadiran (15%)</t>
  </si>
  <si>
    <t>Skor Kehadiran (25%)</t>
  </si>
  <si>
    <t>Skor Kepatuhan Jam Kerja (20%)</t>
  </si>
  <si>
    <t>Skor Hadir Efektif (40%)</t>
  </si>
  <si>
    <t>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</si>
</sst>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DATA%20PDIK/SIMPEGNAS/DATA%20UNTUK%20INOVASI%20TERKAIT%20DISIPLIN%20SIMPEGNAS/LAPORAN%20BULAN%20MEI/REKAPAN%20STASISTI%20OPD%20BULAN%20MEI%20CUT%20OFF%2017%20JUNI%202026/Badan%20Kepegawaian%20dan%20Pengembangan%20Sumber%20Daya%20Manusia.xlsx" TargetMode="External"/><Relationship Id="rId1" Type="http://schemas.openxmlformats.org/officeDocument/2006/relationships/externalLinkPath" Target="file:///D:/DATA%20PDIK/SIMPEGNAS/DATA%20UNTUK%20INOVASI%20TERKAIT%20DISIPLIN%20SIMPEGNAS/LAPORAN%20BULAN%20MEI/REKAPAN%20STASISTI%20OPD%20BULAN%20MEI%20CUT%20OFF%2017%20JUNI%202026/Badan%20Kepegawaian%20dan%20Pengembangan%20Sumber%20Daya%20Manus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7">
          <cell r="E37">
            <v>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7" customWidth="1"/>
    <col min="2" max="5" width="21" customWidth="1"/>
    <col min="6" max="6" width="15" customWidth="1"/>
    <col min="7" max="7" width="10.1640625" customWidth="1"/>
    <col min="8" max="8" width="19.83203125" customWidth="1"/>
    <col min="9" max="9" width="12.83203125" customWidth="1"/>
    <col min="10" max="10" width="15.5" customWidth="1"/>
    <col min="11" max="11" width="24" customWidth="1"/>
    <col min="12" max="12" width="17.33203125" customWidth="1"/>
    <col min="13" max="13" width="18.6640625" customWidth="1"/>
  </cols>
  <sheetData>
    <row r="1" spans="1:13" x14ac:dyDescent="0.2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30</v>
      </c>
    </row>
    <row r="2" spans="1:13" x14ac:dyDescent="0.2">
      <c r="A2">
        <v>1</v>
      </c>
      <c r="B2" t="s">
        <v>36</v>
      </c>
      <c r="C2">
        <v>28</v>
      </c>
      <c r="D2">
        <v>7</v>
      </c>
      <c r="E2" s="3"/>
      <c r="F2">
        <f>C2+D2</f>
        <v>35</v>
      </c>
      <c r="G2">
        <v>16</v>
      </c>
      <c r="H2">
        <f>F2*G2</f>
        <v>560</v>
      </c>
      <c r="J2">
        <v>117</v>
      </c>
      <c r="K2">
        <v>34</v>
      </c>
      <c r="L2">
        <f>[1]Sheet1!$E$37</f>
        <v>24</v>
      </c>
      <c r="M2">
        <v>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1" customWidth="1"/>
    <col min="2" max="2" width="22.33203125" customWidth="1"/>
    <col min="3" max="3" width="25.1640625" customWidth="1"/>
    <col min="4" max="4" width="30.1640625" customWidth="1"/>
    <col min="5" max="5" width="24.83203125" customWidth="1"/>
    <col min="6" max="6" width="23.33203125" customWidth="1"/>
    <col min="7" max="7" width="23.6640625" customWidth="1"/>
    <col min="8" max="8" width="18.33203125" customWidth="1"/>
    <col min="9" max="9" width="21" customWidth="1"/>
    <col min="10" max="10" width="35" customWidth="1"/>
    <col min="11" max="11" width="30" customWidth="1"/>
    <col min="12" max="12" width="21.1640625" customWidth="1"/>
    <col min="13" max="13" width="16" customWidth="1"/>
    <col min="14" max="14" width="93" customWidth="1"/>
  </cols>
  <sheetData>
    <row r="1" spans="1:14" x14ac:dyDescent="0.2">
      <c r="A1" s="1" t="s">
        <v>1</v>
      </c>
      <c r="B1" s="1" t="s">
        <v>9</v>
      </c>
      <c r="C1" s="1" t="s">
        <v>10</v>
      </c>
      <c r="D1" s="1" t="s">
        <v>11</v>
      </c>
      <c r="E1" s="1" t="s">
        <v>31</v>
      </c>
      <c r="F1" s="1" t="s">
        <v>12</v>
      </c>
      <c r="G1" s="1" t="s">
        <v>13</v>
      </c>
      <c r="H1" s="1" t="s">
        <v>14</v>
      </c>
      <c r="I1" s="1" t="s">
        <v>33</v>
      </c>
      <c r="J1" s="1" t="s">
        <v>34</v>
      </c>
      <c r="K1" s="1" t="s">
        <v>32</v>
      </c>
      <c r="L1" s="1" t="s">
        <v>35</v>
      </c>
      <c r="M1" s="1" t="s">
        <v>15</v>
      </c>
      <c r="N1" s="1" t="s">
        <v>16</v>
      </c>
    </row>
    <row r="2" spans="1:14" x14ac:dyDescent="0.2">
      <c r="A2" t="s">
        <v>36</v>
      </c>
      <c r="B2" s="2">
        <f>('Input Data'!I2/'Input Data'!H2)*100</f>
        <v>0</v>
      </c>
      <c r="C2" s="2">
        <f>'Input Data'!J2+'Input Data'!K2</f>
        <v>151</v>
      </c>
      <c r="D2" s="2">
        <f>(C2/'Input Data'!H2)*100</f>
        <v>26.964285714285712</v>
      </c>
      <c r="E2" s="2">
        <f>('Input Data'!M2/'Input Data'!H2)*100</f>
        <v>68.928571428571431</v>
      </c>
      <c r="F2" s="2">
        <f t="shared" ref="F2" si="0">100-D2</f>
        <v>73.035714285714292</v>
      </c>
      <c r="G2" s="2">
        <f>('Input Data'!L2/'Input Data'!H2)*100</f>
        <v>4.2857142857142856</v>
      </c>
      <c r="H2" s="2">
        <f>100-G2</f>
        <v>95.714285714285708</v>
      </c>
      <c r="I2" s="2">
        <f>B2*0.25</f>
        <v>0</v>
      </c>
      <c r="J2" s="2">
        <f>F2*0.2</f>
        <v>14.607142857142859</v>
      </c>
      <c r="K2" s="2">
        <f>H2*0.15</f>
        <v>14.357142857142856</v>
      </c>
      <c r="L2" s="2">
        <f>E2*0.4</f>
        <v>27.571428571428573</v>
      </c>
      <c r="M2" s="2">
        <f>SUM(I2:L2)</f>
        <v>56.535714285714292</v>
      </c>
      <c r="N2" t="str">
        <f>IF(M2&gt;=90,"Sangat Disiplin",IF(M2&gt;=80,"Disiplin",IF(M2&gt;=70,"Cukup","Perlu Pembinaan")))</f>
        <v>Perlu Pembinaan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B16" sqref="B16"/>
    </sheetView>
  </sheetViews>
  <sheetFormatPr baseColWidth="10" defaultColWidth="8.83203125" defaultRowHeight="15" x14ac:dyDescent="0.2"/>
  <sheetData>
    <row r="1" spans="1:1" x14ac:dyDescent="0.2">
      <c r="A1" s="1" t="s">
        <v>17</v>
      </c>
    </row>
    <row r="3" spans="1:1" x14ac:dyDescent="0.2">
      <c r="A3" t="s">
        <v>18</v>
      </c>
    </row>
    <row r="4" spans="1:1" x14ac:dyDescent="0.2">
      <c r="A4" t="s">
        <v>19</v>
      </c>
    </row>
    <row r="5" spans="1:1" x14ac:dyDescent="0.2">
      <c r="A5" t="s">
        <v>20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28</v>
      </c>
    </row>
    <row r="10" spans="1:1" x14ac:dyDescent="0.2">
      <c r="A10" t="s">
        <v>29</v>
      </c>
    </row>
    <row r="12" spans="1:1" x14ac:dyDescent="0.2">
      <c r="A12" t="s">
        <v>23</v>
      </c>
    </row>
    <row r="13" spans="1:1" x14ac:dyDescent="0.2">
      <c r="A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Perhitungan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sovant muhammad</cp:lastModifiedBy>
  <dcterms:created xsi:type="dcterms:W3CDTF">2026-05-22T05:45:24Z</dcterms:created>
  <dcterms:modified xsi:type="dcterms:W3CDTF">2026-07-13T04:21:04Z</dcterms:modified>
</cp:coreProperties>
</file>